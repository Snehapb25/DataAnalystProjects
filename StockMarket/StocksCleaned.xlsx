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neha\Data Analyst Project\"/>
    </mc:Choice>
  </mc:AlternateContent>
  <xr:revisionPtr revIDLastSave="0" documentId="8_{256CD78F-4312-44DE-8B4F-D186E00AD5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3" r:id="rId2"/>
    <sheet name="Summary" sheetId="2" r:id="rId3"/>
  </sheets>
  <calcPr calcId="191029"/>
  <pivotCaches>
    <pivotCache cacheId="6" r:id="rId4"/>
  </pivotCaches>
</workbook>
</file>

<file path=xl/calcChain.xml><?xml version="1.0" encoding="utf-8"?>
<calcChain xmlns="http://schemas.openxmlformats.org/spreadsheetml/2006/main">
  <c r="B2" i="2" l="1"/>
  <c r="B3" i="2"/>
  <c r="B4" i="2"/>
  <c r="B5" i="2"/>
  <c r="E3" i="2"/>
  <c r="E4" i="2"/>
  <c r="E5" i="2"/>
  <c r="E2" i="2"/>
  <c r="D3" i="2"/>
  <c r="D4" i="2"/>
  <c r="D5" i="2"/>
  <c r="D2" i="2"/>
  <c r="C5" i="2" a="1"/>
  <c r="C5" i="2" s="1"/>
  <c r="C4" i="2" a="1"/>
  <c r="C4" i="2" s="1"/>
  <c r="C3" i="2" a="1"/>
  <c r="C3" i="2" s="1"/>
  <c r="C2" i="2" a="1"/>
  <c r="C2" i="2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" i="1"/>
  <c r="H3" i="1"/>
  <c r="I3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</calcChain>
</file>

<file path=xl/sharedStrings.xml><?xml version="1.0" encoding="utf-8"?>
<sst xmlns="http://schemas.openxmlformats.org/spreadsheetml/2006/main" count="277" uniqueCount="20">
  <si>
    <t>Ticker</t>
  </si>
  <si>
    <t>Date</t>
  </si>
  <si>
    <t>Open</t>
  </si>
  <si>
    <t>High</t>
  </si>
  <si>
    <t>Low</t>
  </si>
  <si>
    <t>Close</t>
  </si>
  <si>
    <t>Volume</t>
  </si>
  <si>
    <t>AAPL</t>
  </si>
  <si>
    <t>MSFT</t>
  </si>
  <si>
    <t>GOOG</t>
  </si>
  <si>
    <t>NFLX</t>
  </si>
  <si>
    <t>Daily Return</t>
  </si>
  <si>
    <t>Cumulative Return Index</t>
  </si>
  <si>
    <t>Avg Daily Return</t>
  </si>
  <si>
    <t>Volatility(Daily)</t>
  </si>
  <si>
    <t>Final Cumulative Index</t>
  </si>
  <si>
    <t>Annual Volatility</t>
  </si>
  <si>
    <t>Row Labels</t>
  </si>
  <si>
    <t>Average of Daily Return</t>
  </si>
  <si>
    <t>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</si>
</sst>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2" fillId="0" borderId="1" xfId="0" applyFont="1" applyBorder="1" applyAlignment="1">
      <alignment horizontal="center" vertical="top"/>
    </xf>
    <xf numFmtId="10" fontId="0" fillId="0" borderId="0" xfId="0" applyNumberFormat="1"/>
    <xf numFmtId="10" fontId="2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9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numFmt numFmtId="164" formatCode="0.00;[Red]0.00"/>
    </dxf>
    <dxf>
      <numFmt numFmtId="164" formatCode="0.00;[Red]0.00"/>
    </dxf>
    <dxf>
      <numFmt numFmtId="164" formatCode="0.00;[Red]0.00"/>
    </dxf>
    <dxf>
      <numFmt numFmtId="164" formatCode="0.00;[Red]0.00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01944444444444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Risk VS Daily Return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2E793D1-E7B5-4463-B747-EFA9C8B4CFE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1B-4BFE-A293-6E33BEEE205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54FF242-AF16-4362-98E3-8438098DAE8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1B-4BFE-A293-6E33BEEE205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4EDABB7-31A5-461D-B062-91CD3EEB9E3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1B-4BFE-A293-6E33BEEE205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34EEF83-2A31-4A9E-984D-53BAFCA7F11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1B-4BFE-A293-6E33BEEE20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Summary!$E$2:$E$5</c:f>
              <c:numCache>
                <c:formatCode>0.00%</c:formatCode>
                <c:ptCount val="4"/>
                <c:pt idx="0">
                  <c:v>0.17621729795172697</c:v>
                </c:pt>
                <c:pt idx="1">
                  <c:v>0.29542571753180313</c:v>
                </c:pt>
                <c:pt idx="2">
                  <c:v>0.19042889862169685</c:v>
                </c:pt>
                <c:pt idx="3">
                  <c:v>0.35187826321194243</c:v>
                </c:pt>
              </c:numCache>
            </c:numRef>
          </c:xVal>
          <c:yVal>
            <c:numRef>
              <c:f>Summary!$B$2:$B$5</c:f>
              <c:numCache>
                <c:formatCode>0.00%</c:formatCode>
                <c:ptCount val="4"/>
                <c:pt idx="0">
                  <c:v>1.2451782176532233E-3</c:v>
                </c:pt>
                <c:pt idx="1">
                  <c:v>4.3057939576098209E-3</c:v>
                </c:pt>
                <c:pt idx="2">
                  <c:v>-8.887300375486942E-4</c:v>
                </c:pt>
                <c:pt idx="3">
                  <c:v>-3.6424636837052264E-3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Summary!$A$2:$A$5</c15:f>
                <c15:dlblRangeCache>
                  <c:ptCount val="4"/>
                  <c:pt idx="0">
                    <c:v>AAPL</c:v>
                  </c:pt>
                  <c:pt idx="1">
                    <c:v>GOOG</c:v>
                  </c:pt>
                  <c:pt idx="2">
                    <c:v>MSFT</c:v>
                  </c:pt>
                  <c:pt idx="3">
                    <c:v>NFLX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FF1B-4BFE-A293-6E33BEEE2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45488"/>
        <c:axId val="171349808"/>
      </c:scatterChart>
      <c:valAx>
        <c:axId val="17134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49808"/>
        <c:crosses val="autoZero"/>
        <c:crossBetween val="midCat"/>
      </c:valAx>
      <c:valAx>
        <c:axId val="17134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45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53975</xdr:colOff>
      <xdr:row>0</xdr:row>
      <xdr:rowOff>22225</xdr:rowOff>
    </xdr:from>
    <xdr:to>
      <xdr:col>14</xdr:col>
      <xdr:colOff>358775</xdr:colOff>
      <xdr:row>15</xdr:row>
      <xdr:rowOff>3175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4080D4-EB7F-60D4-D512-65F7F0CAC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eha PB" refreshedDate="46025.99421597222" createdVersion="8" refreshedVersion="8" minRefreshableVersion="3" recordCount="252" xr:uid="{6BAF00E0-6754-4AC8-AB51-3E34A4C73D1E}">
  <cacheSource type="worksheet">
    <worksheetSource name="Table1"/>
  </cacheSource>
  <cacheFields count="9">
    <cacheField name="Ticker" numFmtId="0">
      <sharedItems count="4">
        <s v="AAPL"/>
        <s v="GOOG"/>
        <s v="MSFT"/>
        <s v="NFLX"/>
      </sharedItems>
    </cacheField>
    <cacheField name="Date" numFmtId="14">
      <sharedItems containsSemiMixedTypes="0" containsNonDate="0" containsDate="1" containsString="0" minDate="2025-09-30T00:00:00" maxDate="2025-12-30T00:00:00" count="63"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</sharedItems>
    </cacheField>
    <cacheField name="Open" numFmtId="164">
      <sharedItems containsSemiMixedTypes="0" containsString="0" containsNumber="1" minValue="93.110000610351563" maxValue="548.97255180140235"/>
    </cacheField>
    <cacheField name="High" numFmtId="164">
      <sharedItems containsSemiMixedTypes="0" containsString="0" containsNumber="1" minValue="93.680000305175781" maxValue="552.68557327325868"/>
    </cacheField>
    <cacheField name="Low" numFmtId="164">
      <sharedItems containsSemiMixedTypes="0" containsString="0" containsNumber="1" minValue="91.330001831054688" maxValue="539.75981374502635"/>
    </cacheField>
    <cacheField name="Close" numFmtId="164">
      <sharedItems containsSemiMixedTypes="0" containsString="0" containsNumber="1" minValue="92.709999084472656" maxValue="541.057373046875"/>
    </cacheField>
    <cacheField name="Volume" numFmtId="3">
      <sharedItems containsSemiMixedTypes="0" containsString="0" containsNumber="1" containsInteger="1" minValue="5855900" maxValue="147890000"/>
    </cacheField>
    <cacheField name="Daily Return" numFmtId="10">
      <sharedItems containsMixedTypes="1" containsNumber="1" minValue="-0.1006807176344752" maxValue="6.2806642405846644E-2"/>
    </cacheField>
    <cacheField name="Cumulative Return Index" numFmtId="10">
      <sharedItems containsSemiMixedTypes="0" containsString="0" containsNumber="1" minValue="0.77327928807589241" maxValue="1.32884417831084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">
  <r>
    <x v="0"/>
    <x v="0"/>
    <n v="254.6131805801717"/>
    <n v="255.67215158054219"/>
    <n v="252.86487537359471"/>
    <n v="254.38340759277341"/>
    <n v="37704300"/>
    <s v=""/>
    <n v="1"/>
  </r>
  <r>
    <x v="0"/>
    <x v="1"/>
    <n v="254.79299960742611"/>
    <n v="258.53938316103807"/>
    <n v="254.68310552725069"/>
    <n v="255.2026062011719"/>
    <n v="48713900"/>
    <n v="3.2203303515373084E-3"/>
    <n v="1.0032203303515372"/>
  </r>
  <r>
    <x v="0"/>
    <x v="2"/>
    <n v="256.33149581258527"/>
    <n v="257.92995235357478"/>
    <n v="253.90385651881991"/>
    <n v="256.8809814453125"/>
    <n v="42630200"/>
    <n v="6.5766383389422043E-3"/>
    <n v="1.0098181476385335"/>
  </r>
  <r>
    <x v="0"/>
    <x v="3"/>
    <n v="254.42336451804391"/>
    <n v="258.98893080173337"/>
    <n v="253.7040605782573"/>
    <n v="257.77011108398438"/>
    <n v="49155600"/>
    <n v="3.4612513299711219E-3"/>
    <n v="1.0133133820450764"/>
  </r>
  <r>
    <x v="0"/>
    <x v="4"/>
    <n v="257.74013504569137"/>
    <n v="258.81910617296302"/>
    <n v="254.80299514816289"/>
    <n v="256.44140625"/>
    <n v="44664100"/>
    <n v="-5.1546117135026111E-3"/>
    <n v="1.0080901450165378"/>
  </r>
  <r>
    <x v="0"/>
    <x v="5"/>
    <n v="256.56129542181247"/>
    <n v="257.15072039039768"/>
    <n v="255.18262697514501"/>
    <n v="256.23162841796881"/>
    <n v="31955800"/>
    <n v="-8.180341665522011E-4"/>
    <n v="1.0072654928349496"/>
  </r>
  <r>
    <x v="0"/>
    <x v="6"/>
    <n v="256.2715719294531"/>
    <n v="258.26963510507409"/>
    <n v="255.8619653198879"/>
    <n v="257.81008911132813"/>
    <n v="36496900"/>
    <n v="6.1602882638068001E-3"/>
    <n v="1.0134705386289982"/>
  </r>
  <r>
    <x v="0"/>
    <x v="7"/>
    <n v="257.56031366908991"/>
    <n v="257.75013209688518"/>
    <n v="252.89483830111371"/>
    <n v="253.79396057128909"/>
    <n v="38322000"/>
    <n v="-1.5577856374367026E-2"/>
    <n v="0.99768284013858322"/>
  </r>
  <r>
    <x v="0"/>
    <x v="8"/>
    <n v="254.69310389004829"/>
    <n v="256.13171175032443"/>
    <n v="243.7636963757966"/>
    <n v="245.032470703125"/>
    <n v="61999100"/>
    <n v="-3.4522058162621425E-2"/>
    <n v="0.96324077510346973"/>
  </r>
  <r>
    <x v="0"/>
    <x v="9"/>
    <n v="249.13848619669531"/>
    <n v="249.44818352992391"/>
    <n v="245.32217845998099"/>
    <n v="247.42015075683591"/>
    <n v="38142900"/>
    <n v="9.7443414207897382E-3"/>
    <n v="0.97262692208650414"/>
  </r>
  <r>
    <x v="0"/>
    <x v="10"/>
    <n v="246.36117950382101"/>
    <n v="248.60900042906019"/>
    <n v="244.46301046499011"/>
    <n v="247.53004455566409"/>
    <n v="35478000"/>
    <n v="4.4415864468608007E-4"/>
    <n v="0.97305892274200334"/>
  </r>
  <r>
    <x v="0"/>
    <x v="11"/>
    <n v="249.24838988167789"/>
    <n v="251.5761352503302"/>
    <n v="247.23034185819191"/>
    <n v="249.09852600097659"/>
    <n v="33893600"/>
    <n v="6.3365295640294798E-3"/>
    <n v="0.97922473937350063"/>
  </r>
  <r>
    <x v="0"/>
    <x v="12"/>
    <n v="248.00958596667439"/>
    <n v="248.79881419551731"/>
    <n v="244.89261236251841"/>
    <n v="247.2103576660156"/>
    <n v="39777000"/>
    <n v="-7.5800060533220172E-3"/>
    <n v="0.9718022099214868"/>
  </r>
  <r>
    <x v="0"/>
    <x v="13"/>
    <n v="247.7798007020763"/>
    <n v="253.13461023404031"/>
    <n v="247.03052706557389"/>
    <n v="252.045654296875"/>
    <n v="49147000"/>
    <n v="1.9559441912186996E-2"/>
    <n v="0.99081011879658099"/>
  </r>
  <r>
    <x v="0"/>
    <x v="14"/>
    <n v="255.6421817765318"/>
    <n v="264.1239650925819"/>
    <n v="255.3824390623343"/>
    <n v="261.98602294921881"/>
    <n v="90483000"/>
    <n v="3.9438762315002755E-2"/>
    <n v="1.029886443571099"/>
  </r>
  <r>
    <x v="0"/>
    <x v="15"/>
    <n v="261.6263807259345"/>
    <n v="265.03308188580002"/>
    <n v="261.57641085685549"/>
    <n v="262.5155029296875"/>
    <n v="46695900"/>
    <n v="2.0210237725976823E-3"/>
    <n v="1.0319678685566323"/>
  </r>
  <r>
    <x v="0"/>
    <x v="16"/>
    <n v="262.39562109793121"/>
    <n v="262.59543959597318"/>
    <n v="255.1826123461363"/>
    <n v="258.19970703125"/>
    <n v="45015300"/>
    <n v="-1.6440156296572885E-2"/>
    <n v="1.0150021555045201"/>
  </r>
  <r>
    <x v="0"/>
    <x v="17"/>
    <n v="259.68824995662283"/>
    <n v="260.36758405794768"/>
    <n v="257.76012648314662"/>
    <n v="259.32858276367188"/>
    <n v="32754900"/>
    <n v="4.3721030724688109E-3"/>
    <n v="1.0194398495471639"/>
  </r>
  <r>
    <x v="0"/>
    <x v="18"/>
    <n v="260.93706434715568"/>
    <n v="263.87421967110862"/>
    <n v="258.9290010880386"/>
    <n v="262.56549072265619"/>
    <n v="38253700"/>
    <n v="1.2481878875396228E-2"/>
    <n v="1.0321643742699638"/>
  </r>
  <r>
    <x v="0"/>
    <x v="19"/>
    <n v="264.62346566524872"/>
    <n v="268.85934942213521"/>
    <n v="264.39367744710762"/>
    <n v="268.54965209960938"/>
    <n v="44888200"/>
    <n v="2.2791119124158467E-2"/>
    <n v="1.0556885554796631"/>
  </r>
  <r>
    <x v="0"/>
    <x v="20"/>
    <n v="268.72947136445669"/>
    <n v="269.62862409796691"/>
    <n v="267.89028856946589"/>
    <n v="268.73947143554688"/>
    <n v="41534800"/>
    <n v="7.0683143490758629E-4"/>
    <n v="1.0564347493361483"/>
  </r>
  <r>
    <x v="0"/>
    <x v="21"/>
    <n v="269.01920560410508"/>
    <n v="271.14714761281232"/>
    <n v="266.85129379808268"/>
    <n v="269.43881225585938"/>
    <n v="51086700"/>
    <n v="2.6023003490212131E-3"/>
    <n v="1.059183909853064"/>
  </r>
  <r>
    <x v="0"/>
    <x v="22"/>
    <n v="271.72657092903921"/>
    <n v="273.87451306817258"/>
    <n v="268.21999105717691"/>
    <n v="271.13714599609381"/>
    <n v="69886500"/>
    <n v="6.3032260497856273E-3"/>
    <n v="1.0658601854651637"/>
  </r>
  <r>
    <x v="0"/>
    <x v="23"/>
    <n v="276.72173825534202"/>
    <n v="277.05143573891633"/>
    <n v="268.89933466249028"/>
    <n v="270.108154296875"/>
    <n v="86167100"/>
    <n v="-3.7950967413134576E-3"/>
    <n v="1.0618151429486091"/>
  </r>
  <r>
    <x v="0"/>
    <x v="24"/>
    <n v="270.15812755648938"/>
    <n v="270.5877038096653"/>
    <n v="265.99215254139239"/>
    <n v="268.7894287109375"/>
    <n v="50194600"/>
    <n v="-4.8822131615030512E-3"/>
    <n v="1.0566311350826221"/>
  </r>
  <r>
    <x v="0"/>
    <x v="25"/>
    <n v="268.07010709602292"/>
    <n v="271.22705027239562"/>
    <n v="267.36080327265472"/>
    <n v="269.77847290039063"/>
    <n v="49274800"/>
    <n v="3.6796245826943084E-3"/>
    <n v="1.0605191409821122"/>
  </r>
  <r>
    <x v="0"/>
    <x v="26"/>
    <n v="268.34983996837468"/>
    <n v="271.43687417180428"/>
    <n v="266.67147434431229"/>
    <n v="269.87838745117188"/>
    <n v="43683100"/>
    <n v="3.7035775948713706E-4"/>
    <n v="1.0609119124750594"/>
  </r>
  <r>
    <x v="0"/>
    <x v="27"/>
    <n v="267.63057433889679"/>
    <n v="273.13521740177993"/>
    <n v="267.63057433889679"/>
    <n v="269.50872802734381"/>
    <n v="51204000"/>
    <n v="-1.3697259247739848E-3"/>
    <n v="1.0594587539246407"/>
  </r>
  <r>
    <x v="0"/>
    <x v="28"/>
    <n v="269.5386899523433"/>
    <n v="272.02629915101608"/>
    <n v="266.51162568814641"/>
    <n v="268.20999145507813"/>
    <n v="48227400"/>
    <n v="-4.8189035723322279E-3"/>
    <n v="1.0543533243506145"/>
  </r>
  <r>
    <x v="0"/>
    <x v="29"/>
    <n v="268.95999145507813"/>
    <n v="273.73001098632813"/>
    <n v="267.45999145507813"/>
    <n v="269.42999267578119"/>
    <n v="41312400"/>
    <n v="4.5486792422772338E-3"/>
    <n v="1.0591492394311142"/>
  </r>
  <r>
    <x v="0"/>
    <x v="30"/>
    <n v="269.80999755859381"/>
    <n v="275.91000366210938"/>
    <n v="269.79998779296881"/>
    <n v="275.25"/>
    <n v="46208300"/>
    <n v="2.1601185771557056E-2"/>
    <n v="1.082028118911869"/>
  </r>
  <r>
    <x v="0"/>
    <x v="31"/>
    <n v="275"/>
    <n v="275.73001098632813"/>
    <n v="271.70001220703119"/>
    <n v="273.47000122070313"/>
    <n v="48398000"/>
    <n v="-6.4668438848206177E-3"/>
    <n v="1.0750308119878798"/>
  </r>
  <r>
    <x v="0"/>
    <x v="32"/>
    <n v="274.1099853515625"/>
    <n v="276.70001220703119"/>
    <n v="272.08999633789063"/>
    <n v="272.95001220703119"/>
    <n v="49602800"/>
    <n v="-1.9014480979662421E-3"/>
    <n v="1.0729866966951702"/>
  </r>
  <r>
    <x v="0"/>
    <x v="33"/>
    <n v="271.04998779296881"/>
    <n v="275.95999145507813"/>
    <n v="269.60000610351563"/>
    <n v="272.41000366210938"/>
    <n v="47431300"/>
    <n v="-1.9784155368061476E-3"/>
    <n v="1.0708638831436423"/>
  </r>
  <r>
    <x v="0"/>
    <x v="34"/>
    <n v="268.82000732421881"/>
    <n v="270.489990234375"/>
    <n v="265.73001098632813"/>
    <n v="267.45999145507813"/>
    <n v="45018300"/>
    <n v="-1.817118365877313E-2"/>
    <n v="1.0514050188494923"/>
  </r>
  <r>
    <x v="0"/>
    <x v="35"/>
    <n v="269.989990234375"/>
    <n v="270.70999145507813"/>
    <n v="265.32000732421881"/>
    <n v="267.44000244140619"/>
    <n v="45677300"/>
    <n v="-7.4736462688062056E-5"/>
    <n v="1.0513264405575311"/>
  </r>
  <r>
    <x v="0"/>
    <x v="36"/>
    <n v="265.52999877929688"/>
    <n v="272.20999145507813"/>
    <n v="265.5"/>
    <n v="268.55999755859381"/>
    <n v="40424500"/>
    <n v="4.1878369240330639E-3"/>
    <n v="1.0557292242445102"/>
  </r>
  <r>
    <x v="0"/>
    <x v="37"/>
    <n v="270.82998657226563"/>
    <n v="275.42999267578119"/>
    <n v="265.92001342773438"/>
    <n v="266.25"/>
    <n v="45823600"/>
    <n v="-8.6014208355427793E-3"/>
    <n v="1.0466484528984019"/>
  </r>
  <r>
    <x v="0"/>
    <x v="38"/>
    <n v="265.95001220703119"/>
    <n v="273.32998657226563"/>
    <n v="265.67001342773438"/>
    <n v="271.489990234375"/>
    <n v="59030800"/>
    <n v="1.9680714495305163E-2"/>
    <n v="1.0672472422768482"/>
  </r>
  <r>
    <x v="0"/>
    <x v="39"/>
    <n v="270.89999389648438"/>
    <n v="277"/>
    <n v="270.89999389648438"/>
    <n v="275.92001342773438"/>
    <n v="65585800"/>
    <n v="1.6317445772254711E-2"/>
    <n v="1.0846619912782891"/>
  </r>
  <r>
    <x v="0"/>
    <x v="40"/>
    <n v="275.26998901367188"/>
    <n v="280.3800048828125"/>
    <n v="275.25"/>
    <n v="276.97000122070313"/>
    <n v="46914200"/>
    <n v="3.8054064289314415E-3"/>
    <n v="1.088789570993117"/>
  </r>
  <r>
    <x v="0"/>
    <x v="41"/>
    <n v="276.95999145507813"/>
    <n v="279.52999877929688"/>
    <n v="276.6300048828125"/>
    <n v="277.54998779296881"/>
    <n v="33431400"/>
    <n v="2.0940411225384673E-3"/>
    <n v="1.0910695411285676"/>
  </r>
  <r>
    <x v="0"/>
    <x v="42"/>
    <n v="277.260009765625"/>
    <n v="279"/>
    <n v="275.989990234375"/>
    <n v="278.85000610351563"/>
    <n v="20135600"/>
    <n v="4.6839069274848353E-3"/>
    <n v="1.0961800093106275"/>
  </r>
  <r>
    <x v="0"/>
    <x v="43"/>
    <n v="278.010009765625"/>
    <n v="283.42001342773438"/>
    <n v="276.1400146484375"/>
    <n v="283.10000610351563"/>
    <n v="46587700"/>
    <n v="1.5241168753721673E-2"/>
    <n v="1.1128870738169871"/>
  </r>
  <r>
    <x v="0"/>
    <x v="44"/>
    <n v="283"/>
    <n v="287.39999389648438"/>
    <n v="282.6300048828125"/>
    <n v="286.19000244140619"/>
    <n v="53669500"/>
    <n v="1.0914857899228409E-2"/>
    <n v="1.1250340780855876"/>
  </r>
  <r>
    <x v="0"/>
    <x v="45"/>
    <n v="286.20001220703119"/>
    <n v="288.6199951171875"/>
    <n v="283.29998779296881"/>
    <n v="284.14999389648438"/>
    <n v="43538700"/>
    <n v="-7.1281614574900615E-3"/>
    <n v="1.1170146535318151"/>
  </r>
  <r>
    <x v="0"/>
    <x v="46"/>
    <n v="284.10000610351563"/>
    <n v="284.73001098632813"/>
    <n v="278.58999633789063"/>
    <n v="280.70001220703119"/>
    <n v="43989100"/>
    <n v="-1.2141410394363786E-2"/>
    <n v="1.1034525202067673"/>
  </r>
  <r>
    <x v="0"/>
    <x v="47"/>
    <n v="280.54000854492188"/>
    <n v="281.1400146484375"/>
    <n v="278.04998779296881"/>
    <n v="278.77999877929688"/>
    <n v="47265800"/>
    <n v="-6.8400902894090584E-3"/>
    <n v="1.095904805338477"/>
  </r>
  <r>
    <x v="0"/>
    <x v="48"/>
    <n v="278.1300048828125"/>
    <n v="279.67001342773438"/>
    <n v="276.14999389648438"/>
    <n v="277.8900146484375"/>
    <n v="38211800"/>
    <n v="-3.1924246171044471E-3"/>
    <n v="1.0924062118599114"/>
  </r>
  <r>
    <x v="0"/>
    <x v="49"/>
    <n v="278.16000366210938"/>
    <n v="280.02999877929688"/>
    <n v="276.92001342773438"/>
    <n v="277.17999267578119"/>
    <n v="32193300"/>
    <n v="-2.5550467279458222E-3"/>
    <n v="1.089615062942711"/>
  </r>
  <r>
    <x v="0"/>
    <x v="50"/>
    <n v="277.75"/>
    <n v="279.75"/>
    <n v="276.44000244140619"/>
    <n v="278.77999877929688"/>
    <n v="33038300"/>
    <n v="5.7724444252627459E-3"/>
    <n v="1.095904805338477"/>
  </r>
  <r>
    <x v="0"/>
    <x v="51"/>
    <n v="279.10000610351563"/>
    <n v="279.58999633789063"/>
    <n v="273.80999755859381"/>
    <n v="278.02999877929688"/>
    <n v="33248000"/>
    <n v="-2.6902934331158963E-3"/>
    <n v="1.0929564998373547"/>
  </r>
  <r>
    <x v="0"/>
    <x v="52"/>
    <n v="277.89999389648438"/>
    <n v="279.22000122070313"/>
    <n v="276.82000732421881"/>
    <n v="278.27999877929688"/>
    <n v="39532900"/>
    <n v="8.9918354529236477E-4"/>
    <n v="1.0939392683377287"/>
  </r>
  <r>
    <x v="0"/>
    <x v="53"/>
    <n v="280.14999389648438"/>
    <n v="280.14999389648438"/>
    <n v="272.83999633789063"/>
    <n v="274.1099853515625"/>
    <n v="50409100"/>
    <n v="-1.498495560596003E-2"/>
    <n v="1.0775466369660713"/>
  </r>
  <r>
    <x v="0"/>
    <x v="54"/>
    <n v="272.82000732421881"/>
    <n v="275.5"/>
    <n v="271.79000854492188"/>
    <n v="274.6099853515625"/>
    <n v="37648600"/>
    <n v="1.8240853187406509E-3"/>
    <n v="1.0795121739668194"/>
  </r>
  <r>
    <x v="0"/>
    <x v="55"/>
    <n v="275.010009765625"/>
    <n v="276.16000366210938"/>
    <n v="271.6400146484375"/>
    <n v="271.83999633789063"/>
    <n v="50138700"/>
    <n v="-1.0086993049890981E-2"/>
    <n v="1.0686231421707433"/>
  </r>
  <r>
    <x v="0"/>
    <x v="56"/>
    <n v="273.6099853515625"/>
    <n v="273.6300048828125"/>
    <n v="266.95001220703119"/>
    <n v="272.19000244140619"/>
    <n v="51630700"/>
    <n v="1.2875445417550658E-3"/>
    <n v="1.0699990420646384"/>
  </r>
  <r>
    <x v="0"/>
    <x v="57"/>
    <n v="272.14999389648438"/>
    <n v="274.60000610351563"/>
    <n v="269.89999389648438"/>
    <n v="273.67001342773438"/>
    <n v="144632000"/>
    <n v="5.4374186158684537E-3"/>
    <n v="1.0758170747749221"/>
  </r>
  <r>
    <x v="0"/>
    <x v="58"/>
    <n v="272.8599853515625"/>
    <n v="273.8800048828125"/>
    <n v="270.510009765625"/>
    <n v="270.97000122070313"/>
    <n v="36571800"/>
    <n v="-9.865941003961029E-3"/>
    <n v="1.0652031269841389"/>
  </r>
  <r>
    <x v="0"/>
    <x v="59"/>
    <n v="270.83999633789063"/>
    <n v="272.5"/>
    <n v="269.55999755859381"/>
    <n v="272.3599853515625"/>
    <n v="29642000"/>
    <n v="5.1296605697958532E-3"/>
    <n v="1.0706672574634528"/>
  </r>
  <r>
    <x v="0"/>
    <x v="60"/>
    <n v="272.33999633789063"/>
    <n v="275.42999267578119"/>
    <n v="272.20001220703119"/>
    <n v="273.80999755859381"/>
    <n v="17910600"/>
    <n v="5.3238812050882944E-3"/>
    <n v="1.0763673627523658"/>
  </r>
  <r>
    <x v="0"/>
    <x v="61"/>
    <n v="274.16000366210938"/>
    <n v="275.3699951171875"/>
    <n v="272.8599853515625"/>
    <n v="273.39999389648438"/>
    <n v="21521800"/>
    <n v="-1.497402088182311E-3"/>
    <n v="1.0747556080157292"/>
  </r>
  <r>
    <x v="0"/>
    <x v="62"/>
    <n v="272.69000244140619"/>
    <n v="274.3599853515625"/>
    <n v="272.35000610351563"/>
    <n v="273.760009765625"/>
    <n v="23700400"/>
    <n v="1.3168100847761374E-3"/>
    <n v="1.0761708570390343"/>
  </r>
  <r>
    <x v="1"/>
    <x v="0"/>
    <n v="242.90151883167661"/>
    <n v="243.51612333212859"/>
    <n v="239.4147952973542"/>
    <n v="243.3912048339844"/>
    <n v="22541200"/>
    <s v=""/>
    <n v="1"/>
  </r>
  <r>
    <x v="1"/>
    <x v="1"/>
    <n v="241.0227402370779"/>
    <n v="246.9888489406589"/>
    <n v="239.04403549206739"/>
    <n v="245.37989807128909"/>
    <n v="23967700"/>
    <n v="8.1707686958580224E-3"/>
    <n v="1.0081707686958581"/>
  </r>
  <r>
    <x v="1"/>
    <x v="2"/>
    <n v="245.4798394250779"/>
    <n v="247.47353378364269"/>
    <n v="242.9464886130651"/>
    <n v="246.2693176269531"/>
    <n v="20657500"/>
    <n v="3.6246634816255677E-3"/>
    <n v="1.0118250484643923"/>
  </r>
  <r>
    <x v="1"/>
    <x v="3"/>
    <n v="245.07010088502179"/>
    <n v="246.95687035937331"/>
    <n v="242.31190594958699"/>
    <n v="246.289306640625"/>
    <n v="19941400"/>
    <n v="8.1167292233223423E-5"/>
    <n v="1.0119071755637898"/>
  </r>
  <r>
    <x v="1"/>
    <x v="4"/>
    <n v="245.61974856895051"/>
    <n v="252.03556085596031"/>
    <n v="245.52981090927679"/>
    <n v="251.34600830078119"/>
    <n v="18309000"/>
    <n v="2.0531551812497974E-2"/>
    <n v="1.0326832001683164"/>
  </r>
  <r>
    <x v="1"/>
    <x v="5"/>
    <n v="248.76768624174679"/>
    <n v="251.38598832802839"/>
    <n v="246.64907339611261"/>
    <n v="246.9688720703125"/>
    <n v="13811200"/>
    <n v="-1.7414783151163689E-2"/>
    <n v="1.0146992461735354"/>
  </r>
  <r>
    <x v="1"/>
    <x v="6"/>
    <n v="246.03946500745059"/>
    <n v="247.0987714065503"/>
    <n v="244.93018816052091"/>
    <n v="245.2999572753906"/>
    <n v="14136500"/>
    <n v="-6.7575916791925107E-3"/>
    <n v="1.0078423229907101"/>
  </r>
  <r>
    <x v="1"/>
    <x v="7"/>
    <n v="244.90021080901741"/>
    <n v="245.39488317397439"/>
    <n v="239.52371385692189"/>
    <n v="242.05207824707031"/>
    <n v="19375700"/>
    <n v="-1.3240438622147788E-2"/>
    <n v="0.9944980485723488"/>
  </r>
  <r>
    <x v="1"/>
    <x v="8"/>
    <n v="242.00211257865041"/>
    <n v="244.68035786865011"/>
    <n v="236.5306762415394"/>
    <n v="237.33515930175781"/>
    <n v="22449100"/>
    <n v="-1.9487206965840588E-2"/>
    <n v="0.97511805927269479"/>
  </r>
  <r>
    <x v="1"/>
    <x v="9"/>
    <n v="240.8728372678934"/>
    <n v="244.83026189387331"/>
    <n v="240.59302105936189"/>
    <n v="244.48048400878909"/>
    <n v="12465000"/>
    <n v="3.0106473596465389E-2"/>
    <n v="1.0044754253776247"/>
  </r>
  <r>
    <x v="1"/>
    <x v="10"/>
    <n v="241.59737415880701"/>
    <n v="247.86327497207861"/>
    <n v="241.0207392770717"/>
    <n v="246.02947998046881"/>
    <n v="17705400"/>
    <n v="6.3358675763421236E-3"/>
    <n v="1.0108396486565072"/>
  </r>
  <r>
    <x v="1"/>
    <x v="11"/>
    <n v="247.92324680271901"/>
    <n v="252.59518634371949"/>
    <n v="246.62907776804079"/>
    <n v="251.54588317871091"/>
    <n v="16048100"/>
    <n v="2.2421716286519913E-2"/>
    <n v="1.0335044084698488"/>
  </r>
  <r>
    <x v="1"/>
    <x v="12"/>
    <n v="252.30038456613701"/>
    <n v="257.41203973380101"/>
    <n v="250.50655676866171"/>
    <n v="251.71577453613281"/>
    <n v="18946000"/>
    <n v="6.7538913885227059E-4"/>
    <n v="1.0342024261222853"/>
  </r>
  <r>
    <x v="1"/>
    <x v="13"/>
    <n v="251.18611550864571"/>
    <n v="254.71381258280721"/>
    <n v="248.4279053834876"/>
    <n v="253.62451171875"/>
    <n v="17653800"/>
    <n v="7.582906498945682E-3"/>
    <n v="1.0420446864205533"/>
  </r>
  <r>
    <x v="1"/>
    <x v="14"/>
    <n v="255.0635907467761"/>
    <n v="257.71187214774989"/>
    <n v="254.43401186370409"/>
    <n v="256.8524169921875"/>
    <n v="13726800"/>
    <n v="1.2727102958475078E-2"/>
    <n v="1.0553068964319594"/>
  </r>
  <r>
    <x v="1"/>
    <x v="15"/>
    <n v="255.08357119414509"/>
    <n v="255.21349131081689"/>
    <n v="244.51046776493439"/>
    <n v="251.1761169433594"/>
    <n v="27836400"/>
    <n v="-2.2099461298823397E-2"/>
    <n v="1.0319851825158799"/>
  </r>
  <r>
    <x v="1"/>
    <x v="16"/>
    <n v="254.8437198779537"/>
    <n v="257.01230313906012"/>
    <n v="250.28770200626221"/>
    <n v="252.36534118652341"/>
    <n v="19650200"/>
    <n v="4.734623090905484E-3"/>
    <n v="1.0368712433904919"/>
  </r>
  <r>
    <x v="1"/>
    <x v="17"/>
    <n v="253.53458071688391"/>
    <n v="255.69317602396839"/>
    <n v="252.60319681232599"/>
    <n v="253.56455993652341"/>
    <n v="13241300"/>
    <n v="4.7519153952034028E-3"/>
    <n v="1.0417983678148028"/>
  </r>
  <r>
    <x v="1"/>
    <x v="18"/>
    <n v="257.13221998989042"/>
    <n v="262.3388448619566"/>
    <n v="255.93302072679299"/>
    <n v="260.34014892578119"/>
    <n v="18406000"/>
    <n v="2.672135645042022E-2"/>
    <n v="1.0696366333506482"/>
  </r>
  <r>
    <x v="1"/>
    <x v="19"/>
    <n v="265.18697013205792"/>
    <n v="270.62342568143652"/>
    <n v="264.76726105156479"/>
    <n v="269.75399780273438"/>
    <n v="22987700"/>
    <n v="3.6159804455043618E-2"/>
    <n v="1.1083144848505586"/>
  </r>
  <r>
    <x v="1"/>
    <x v="20"/>
    <n v="270.02383983085667"/>
    <n v="271.20306314281788"/>
    <n v="266.99581663283527"/>
    <n v="268.25497436523438"/>
    <n v="20101200"/>
    <n v="-5.5570017486680787E-3"/>
    <n v="1.1021555793201698"/>
  </r>
  <r>
    <x v="1"/>
    <x v="21"/>
    <n v="268.43484969558523"/>
    <n v="275.790066781071"/>
    <n v="268.25497437633231"/>
    <n v="274.9906005859375"/>
    <n v="26287900"/>
    <n v="2.5109044992144072E-2"/>
    <n v="1.1298296533496626"/>
  </r>
  <r>
    <x v="1"/>
    <x v="22"/>
    <n v="291.52979090409951"/>
    <n v="291.73964543835967"/>
    <n v="280.26715026616267"/>
    <n v="281.7161865234375"/>
    <n v="48570000"/>
    <n v="2.4457512086483779E-2"/>
    <n v="1.1574624757521297"/>
  </r>
  <r>
    <x v="1"/>
    <x v="23"/>
    <n v="283.02033722941343"/>
    <n v="286.09834615146849"/>
    <n v="277.34206555342632"/>
    <n v="281.63626098632813"/>
    <n v="29932800"/>
    <n v="-2.8370942435260307E-4"/>
    <n v="1.1571340927394242"/>
  </r>
  <r>
    <x v="1"/>
    <x v="24"/>
    <n v="282.23588008942733"/>
    <n v="285.75357412647901"/>
    <n v="280.1871983580786"/>
    <n v="283.93475341796881"/>
    <n v="19691800"/>
    <n v="8.1612091553518416E-3"/>
    <n v="1.1665777060910589"/>
  </r>
  <r>
    <x v="1"/>
    <x v="25"/>
    <n v="276.88434628169722"/>
    <n v="281.65024916844402"/>
    <n v="276.68446448968371"/>
    <n v="277.87869262695313"/>
    <n v="18123700"/>
    <n v="-2.1329057884297811E-2"/>
    <n v="1.1416957026713113"/>
  </r>
  <r>
    <x v="1"/>
    <x v="26"/>
    <n v="279.19783739958859"/>
    <n v="286.51307177195639"/>
    <n v="277.69881546251389"/>
    <n v="284.5643310546875"/>
    <n v="20063200"/>
    <n v="2.405955765996682E-2"/>
    <n v="1.1691643962598681"/>
  </r>
  <r>
    <x v="1"/>
    <x v="27"/>
    <n v="285.54869267150292"/>
    <n v="288.62170004085368"/>
    <n v="281.43638531671388"/>
    <n v="285.15396118164063"/>
    <n v="23103800"/>
    <n v="2.072045097035756E-3"/>
    <n v="1.1715869576147671"/>
  </r>
  <r>
    <x v="1"/>
    <x v="28"/>
    <n v="284.02467776243662"/>
    <n v="284.31449721282979"/>
    <n v="275.56019924413692"/>
    <n v="279.51763916015619"/>
    <n v="21991100"/>
    <n v="-1.9765890672281922E-2"/>
    <n v="1.1484294978974821"/>
  </r>
  <r>
    <x v="1"/>
    <x v="29"/>
    <n v="285.07900324144867"/>
    <n v="291.26994051890449"/>
    <n v="283.35512195449269"/>
    <n v="290.4005126953125"/>
    <n v="19508200"/>
    <n v="3.8934478581942759E-2"/>
    <n v="1.1931430015862428"/>
  </r>
  <r>
    <x v="1"/>
    <x v="30"/>
    <n v="288.01210422755503"/>
    <n v="292.14938906618619"/>
    <n v="287.6923055498566"/>
    <n v="291.54977416992188"/>
    <n v="14156700"/>
    <n v="3.957504978013511E-3"/>
    <n v="1.1978648709545023"/>
  </r>
  <r>
    <x v="1"/>
    <x v="31"/>
    <n v="291.89454788233678"/>
    <n v="292.16936247888572"/>
    <n v="284.1945850710095"/>
    <n v="287.24258422851563"/>
    <n v="16998800"/>
    <n v="-1.4773429180898358E-2"/>
    <n v="1.1801682991151701"/>
  </r>
  <r>
    <x v="1"/>
    <x v="32"/>
    <n v="282.80048919691171"/>
    <n v="283.32517131371287"/>
    <n v="277.8187538786583"/>
    <n v="278.93801879882813"/>
    <n v="18060200"/>
    <n v="-2.8911330999169708E-2"/>
    <n v="1.1460480627847243"/>
  </r>
  <r>
    <x v="1"/>
    <x v="33"/>
    <n v="271.71770164206481"/>
    <n v="278.96797594579851"/>
    <n v="271.23303252206858"/>
    <n v="276.79940795898438"/>
    <n v="18330500"/>
    <n v="-7.6669750830421213E-3"/>
    <n v="1.1372613408433851"/>
  </r>
  <r>
    <x v="1"/>
    <x v="34"/>
    <n v="286.21325402295531"/>
    <n v="294.32795470266541"/>
    <n v="284.04468599528099"/>
    <n v="285.41378784179688"/>
    <n v="34286100"/>
    <n v="3.112138117032737E-2"/>
    <n v="1.1726544845220499"/>
  </r>
  <r>
    <x v="1"/>
    <x v="35"/>
    <n v="288.29689607577558"/>
    <n v="289.24628888451201"/>
    <n v="278.82809807753432"/>
    <n v="284.77420043945313"/>
    <n v="29702200"/>
    <n v="-2.240912771524091E-3"/>
    <n v="1.1700266681110996"/>
  </r>
  <r>
    <x v="1"/>
    <x v="36"/>
    <n v="287.49741656605772"/>
    <n v="304.05161802852632"/>
    <n v="287.48244220539198"/>
    <n v="292.7989501953125"/>
    <n v="43123600"/>
    <n v="2.8179342593099638E-2"/>
    <n v="1.2029972504348652"/>
  </r>
  <r>
    <x v="1"/>
    <x v="37"/>
    <n v="304.5413108694683"/>
    <n v="306.68993354598803"/>
    <n v="288.98148512013131"/>
    <n v="289.79095458984381"/>
    <n v="34801400"/>
    <n v="-1.0273245868751236E-2"/>
    <n v="1.1906385639017161"/>
  </r>
  <r>
    <x v="1"/>
    <x v="38"/>
    <n v="296.67643415737018"/>
    <n v="303.76180777649893"/>
    <n v="294.16806093268019"/>
    <n v="299.45462036132813"/>
    <n v="43670600"/>
    <n v="3.3347023495477301E-2"/>
    <n v="1.230342816066768"/>
  </r>
  <r>
    <x v="1"/>
    <x v="39"/>
    <n v="310.8072320588326"/>
    <n v="319.59147904366591"/>
    <n v="309.19826591579601"/>
    <n v="318.26235961914063"/>
    <n v="55311800"/>
    <n v="6.2806642405846644E-2"/>
    <n v="1.307616517352076"/>
  </r>
  <r>
    <x v="1"/>
    <x v="40"/>
    <n v="326.58689828383473"/>
    <n v="328.45570457080521"/>
    <n v="317.6087780037563"/>
    <n v="323.42898559570313"/>
    <n v="50899300"/>
    <n v="1.623385807465676E-2"/>
    <n v="1.3288441783108467"/>
  </r>
  <r>
    <x v="1"/>
    <x v="41"/>
    <n v="320.57084097778147"/>
    <n v="324.77808739713271"/>
    <n v="316.99318865990762"/>
    <n v="320.0711669921875"/>
    <n v="29839600"/>
    <n v="-1.0381934684459632E-2"/>
    <n v="1.3150482048457992"/>
  </r>
  <r>
    <x v="1"/>
    <x v="42"/>
    <n v="323.21912492867199"/>
    <n v="326.66688781956668"/>
    <n v="316.73336599519831"/>
    <n v="319.91128540039063"/>
    <n v="19695800"/>
    <n v="-4.995188829388606E-4"/>
    <n v="1.3143913134355039"/>
  </r>
  <r>
    <x v="1"/>
    <x v="43"/>
    <n v="317.26799565865412"/>
    <n v="319.42158926511092"/>
    <n v="313.77527946257868"/>
    <n v="314.91452026367188"/>
    <n v="28520600"/>
    <n v="-1.5619221217735287E-2"/>
    <n v="1.2938615447442852"/>
  </r>
  <r>
    <x v="1"/>
    <x v="44"/>
    <n v="316.6933654189159"/>
    <n v="318.39226916605139"/>
    <n v="314.01512018023521"/>
    <n v="315.81393432617188"/>
    <n v="24668200"/>
    <n v="2.8560577700480049E-3"/>
    <n v="1.2975568880625183"/>
  </r>
  <r>
    <x v="1"/>
    <x v="45"/>
    <n v="315.82394606355052"/>
    <n v="321.83003728081411"/>
    <n v="314.07508706995469"/>
    <n v="320.41094970703119"/>
    <n v="32285100"/>
    <n v="1.4556087877083764E-2"/>
    <n v="1.3164442401506717"/>
  </r>
  <r>
    <x v="1"/>
    <x v="46"/>
    <n v="322.83439794428062"/>
    <n v="322.88834834302389"/>
    <n v="315.38424129791463"/>
    <n v="318.18243408203119"/>
    <n v="20831600"/>
    <n v="-6.9551793627454072E-3"/>
    <n v="1.3072881343393707"/>
  </r>
  <r>
    <x v="1"/>
    <x v="47"/>
    <n v="319.79134083015879"/>
    <n v="323.61883002174108"/>
    <n v="319.77136485052142"/>
    <n v="321.87997436523438"/>
    <n v="15719900"/>
    <n v="1.1620818395807206E-2"/>
    <n v="1.3224798923395222"/>
  </r>
  <r>
    <x v="1"/>
    <x v="48"/>
    <n v="321.02999877929688"/>
    <n v="321.23001098632813"/>
    <n v="311.91000366210938"/>
    <n v="314.45001220703119"/>
    <n v="22006900"/>
    <n v="-2.3083020846063784E-2"/>
    <n v="1.291953061416149"/>
  </r>
  <r>
    <x v="1"/>
    <x v="49"/>
    <n v="313.10000610351563"/>
    <n v="318.70901489257813"/>
    <n v="312.6199951171875"/>
    <n v="317.75"/>
    <n v="14151300"/>
    <n v="1.0494475003537678E-2"/>
    <n v="1.3055114305249247"/>
  </r>
  <r>
    <x v="1"/>
    <x v="50"/>
    <n v="316.6199951171875"/>
    <n v="321.8699951171875"/>
    <n v="315.39999389648438"/>
    <n v="321"/>
    <n v="22764500"/>
    <n v="1.0228166797797011E-2"/>
    <n v="1.3188644191927643"/>
  </r>
  <r>
    <x v="1"/>
    <x v="51"/>
    <n v="321.10000610351563"/>
    <n v="321.989990234375"/>
    <n v="309.8800048828125"/>
    <n v="313.70001220703119"/>
    <n v="25912100"/>
    <n v="-2.2741394993672295E-2"/>
    <n v="1.2888716024928013"/>
  </r>
  <r>
    <x v="1"/>
    <x v="52"/>
    <n v="314.79501342773438"/>
    <n v="316.1400146484375"/>
    <n v="306.95999145507813"/>
    <n v="310.51998901367188"/>
    <n v="21264800"/>
    <n v="-1.0137147177605502E-2"/>
    <n v="1.2758061213652956"/>
  </r>
  <r>
    <x v="1"/>
    <x v="53"/>
    <n v="312.625"/>
    <n v="312.70001220703119"/>
    <n v="305.739990234375"/>
    <n v="309.32000732421881"/>
    <n v="22028900"/>
    <n v="-3.8644265487212618E-3"/>
    <n v="1.2708758623188705"/>
  </r>
  <r>
    <x v="1"/>
    <x v="54"/>
    <n v="306"/>
    <n v="311.84500122070313"/>
    <n v="303.82998657226563"/>
    <n v="307.73001098632813"/>
    <n v="21285200"/>
    <n v="-5.1402958109466913E-3"/>
    <n v="1.2643431844475597"/>
  </r>
  <r>
    <x v="1"/>
    <x v="55"/>
    <n v="309.010009765625"/>
    <n v="309.19500732421881"/>
    <n v="297.45001220703119"/>
    <n v="298.05999755859381"/>
    <n v="29120400"/>
    <n v="-3.1423693115729096E-2"/>
    <n v="1.2246128522265158"/>
  </r>
  <r>
    <x v="1"/>
    <x v="56"/>
    <n v="303.05999755859381"/>
    <n v="305.260009765625"/>
    <n v="300.6300048828125"/>
    <n v="303.75"/>
    <n v="21040500"/>
    <n v="1.9090124431365971E-2"/>
    <n v="1.24799086395577"/>
  </r>
  <r>
    <x v="1"/>
    <x v="57"/>
    <n v="303.26998901367188"/>
    <n v="308.989990234375"/>
    <n v="302.33999633789063"/>
    <n v="308.6099853515625"/>
    <n v="45234400"/>
    <n v="1.5999951774691358E-2"/>
    <n v="1.2679586575943178"/>
  </r>
  <r>
    <x v="1"/>
    <x v="58"/>
    <n v="311.22500610351563"/>
    <n v="311.70001220703119"/>
    <n v="306.58999633789063"/>
    <n v="311.32998657226563"/>
    <n v="14091400"/>
    <n v="8.8137174745157795E-3"/>
    <n v="1.2791340869717205"/>
  </r>
  <r>
    <x v="1"/>
    <x v="59"/>
    <n v="311.135009765625"/>
    <n v="316.29998779296881"/>
    <n v="310.75"/>
    <n v="315.67999267578119"/>
    <n v="13961400"/>
    <n v="1.3972332544670729E-2"/>
    <n v="1.2970065738041132"/>
  </r>
  <r>
    <x v="1"/>
    <x v="60"/>
    <n v="316.14999389648438"/>
    <n v="316.29000854492188"/>
    <n v="313.32000732421881"/>
    <n v="315.67001342773438"/>
    <n v="6138200"/>
    <n v="-3.1611911677492125E-5"/>
    <n v="1.296965572946857"/>
  </r>
  <r>
    <x v="1"/>
    <x v="61"/>
    <n v="315.92001342773438"/>
    <n v="316.55999755859381"/>
    <n v="313.72000122070313"/>
    <n v="314.95999145507813"/>
    <n v="6730900"/>
    <n v="-2.2492537854527437E-3"/>
    <n v="1.2940483682223045"/>
  </r>
  <r>
    <x v="1"/>
    <x v="62"/>
    <n v="312.82000732421881"/>
    <n v="314.97000122070313"/>
    <n v="311.89999389648438"/>
    <n v="314.3900146484375"/>
    <n v="12305800"/>
    <n v="-1.8096800295408924E-3"/>
    <n v="1.2917065547330726"/>
  </r>
  <r>
    <x v="2"/>
    <x v="0"/>
    <n v="512.28119876635958"/>
    <n v="517.19199058126446"/>
    <n v="508.70790002171151"/>
    <n v="516.982421875"/>
    <n v="19728200"/>
    <s v=""/>
    <n v="1"/>
  </r>
  <r>
    <x v="2"/>
    <x v="1"/>
    <n v="513.83827414793154"/>
    <n v="519.53762905342626"/>
    <n v="510.7340986553811"/>
    <n v="518.7391357421875"/>
    <n v="22632300"/>
    <n v="3.398014696159731E-3"/>
    <n v="1.0033980146961596"/>
  </r>
  <r>
    <x v="2"/>
    <x v="2"/>
    <n v="516.67302532275846"/>
    <n v="520.62558876422202"/>
    <n v="509.72600517910229"/>
    <n v="514.77655029296875"/>
    <n v="21222900"/>
    <n v="-7.6388789204216677E-3"/>
    <n v="0.99573317875290412"/>
  </r>
  <r>
    <x v="2"/>
    <x v="3"/>
    <n v="516.13395092631708"/>
    <n v="519.51763249043529"/>
    <n v="514.03789842739639"/>
    <n v="516.38348388671875"/>
    <n v="15112300"/>
    <n v="3.1216138202788467E-3"/>
    <n v="0.99884147320500927"/>
  </r>
  <r>
    <x v="2"/>
    <x v="4"/>
    <n v="517.64116500740943"/>
    <n v="530.03800694815322"/>
    <n v="517.23195773768612"/>
    <n v="527.58258056640625"/>
    <n v="21388600"/>
    <n v="2.1687557850212525E-2"/>
    <n v="1.0205039054383345"/>
  </r>
  <r>
    <x v="2"/>
    <x v="5"/>
    <n v="527.30304439843644"/>
    <n v="528.81023321443217"/>
    <n v="520.4658657072805"/>
    <n v="523.0010986328125"/>
    <n v="14615200"/>
    <n v="-8.6839143337051165E-3"/>
    <n v="1.0116419369462966"/>
  </r>
  <r>
    <x v="2"/>
    <x v="6"/>
    <n v="522.30249335309998"/>
    <n v="525.96562039258117"/>
    <n v="522.1128458539913"/>
    <n v="523.8695068359375"/>
    <n v="13363400"/>
    <n v="1.6604328468814368E-3"/>
    <n v="1.0133217004476849"/>
  </r>
  <r>
    <x v="2"/>
    <x v="7"/>
    <n v="521.36424782312451"/>
    <n v="523.35052057339828"/>
    <n v="516.43347375893279"/>
    <n v="521.42413330078125"/>
    <n v="18343600"/>
    <n v="-4.667905849160406E-3"/>
    <n v="1.008591610155084"/>
  </r>
  <r>
    <x v="2"/>
    <x v="8"/>
    <n v="518.66927061294552"/>
    <n v="522.60191270148835"/>
    <n v="508.67796063371361"/>
    <n v="510.00546264648438"/>
    <n v="24133800"/>
    <n v="-2.1899006825811924E-2"/>
    <n v="0.98650445559984123"/>
  </r>
  <r>
    <x v="2"/>
    <x v="9"/>
    <n v="515.44523716804815"/>
    <n v="515.44523716804815"/>
    <n v="510.72409305522382"/>
    <n v="513.08966064453125"/>
    <n v="14284200"/>
    <n v="6.0473822810496423E-3"/>
    <n v="0.9924702251648122"/>
  </r>
  <r>
    <x v="2"/>
    <x v="10"/>
    <n v="509.2768388871209"/>
    <n v="514.31742314547478"/>
    <n v="505.05473007895688"/>
    <n v="512.610595703125"/>
    <n v="14684300"/>
    <n v="-9.3368660129393335E-4"/>
    <n v="0.99154356901339269"/>
  </r>
  <r>
    <x v="2"/>
    <x v="11"/>
    <n v="513.99799615830227"/>
    <n v="516.22381067496883"/>
    <n v="509.04724028199121"/>
    <n v="512.4708251953125"/>
    <n v="14694700"/>
    <n v="-2.7266410211592107E-4"/>
    <n v="0.99127321067643881"/>
  </r>
  <r>
    <x v="2"/>
    <x v="12"/>
    <n v="511.62245544117161"/>
    <n v="515.88443713684205"/>
    <n v="507.1807563967364"/>
    <n v="510.65423583984381"/>
    <n v="15559600"/>
    <n v="-3.5447663869964813E-3"/>
    <n v="0.98775937871890285"/>
  </r>
  <r>
    <x v="2"/>
    <x v="13"/>
    <n v="508.08907805006532"/>
    <n v="514.51701955273677"/>
    <n v="506.36229887297759"/>
    <n v="512.62060546875"/>
    <n v="19867800"/>
    <n v="3.8506870028645066E-3"/>
    <n v="0.99156293092049319"/>
  </r>
  <r>
    <x v="2"/>
    <x v="14"/>
    <n v="513.64860385775114"/>
    <n v="517.73098982742295"/>
    <n v="512.47081561475125"/>
    <n v="515.82452392578125"/>
    <n v="14665600"/>
    <n v="6.2500773922295342E-3"/>
    <n v="0.99776027597801231"/>
  </r>
  <r>
    <x v="2"/>
    <x v="15"/>
    <n v="516.53325783033597"/>
    <n v="517.72103722721647"/>
    <n v="512.08156762834369"/>
    <n v="516.69293212890625"/>
    <n v="15586200"/>
    <n v="1.6835341532733131E-3"/>
    <n v="0.99944003947940063"/>
  </r>
  <r>
    <x v="2"/>
    <x v="16"/>
    <n v="520.17647268713881"/>
    <n v="524.24880704351153"/>
    <n v="516.74289645730425"/>
    <n v="519.56756591796875"/>
    <n v="18962700"/>
    <n v="5.563524504231707E-3"/>
    <n v="1.0050004486295547"/>
  </r>
  <r>
    <x v="2"/>
    <x v="17"/>
    <n v="521.48399933771987"/>
    <n v="522.97120607836632"/>
    <n v="517.64115508107409"/>
    <n v="519.5875244140625"/>
    <n v="14023500"/>
    <n v="3.8413668217505945E-5"/>
    <n v="1.0050390543833467"/>
  </r>
  <r>
    <x v="2"/>
    <x v="18"/>
    <n v="521.81336045894147"/>
    <n v="524.36857571738437"/>
    <n v="519.73728994473845"/>
    <n v="522.6318359375"/>
    <n v="15532400"/>
    <n v="5.8590928003334226E-3"/>
    <n v="1.0109276714709381"/>
  </r>
  <r>
    <x v="2"/>
    <x v="19"/>
    <n v="530.78662365693356"/>
    <n v="533.58138085922178"/>
    <n v="528.0217787333662"/>
    <n v="530.527099609375"/>
    <n v="18734700"/>
    <n v="1.5106740785724295E-2"/>
    <n v="1.0261994937569654"/>
  </r>
  <r>
    <x v="2"/>
    <x v="20"/>
    <n v="548.97255180140235"/>
    <n v="552.68557327325868"/>
    <n v="539.75981374502635"/>
    <n v="541.057373046875"/>
    <n v="29986700"/>
    <n v="1.9848700368470147E-2"/>
    <n v="1.0465682200268231"/>
  </r>
  <r>
    <x v="2"/>
    <x v="21"/>
    <n v="543.92201191417246"/>
    <n v="545.2495444281135"/>
    <n v="535.72732690440955"/>
    <n v="540.538330078125"/>
    <n v="36023000"/>
    <n v="-9.5931225523662213E-4"/>
    <n v="1.0455642343074103"/>
  </r>
  <r>
    <x v="2"/>
    <x v="22"/>
    <n v="529.48898530808663"/>
    <n v="533.97058774507525"/>
    <n v="521.14461733197959"/>
    <n v="524.77783203125"/>
    <n v="41023100"/>
    <n v="-2.9157040620222265E-2"/>
    <n v="1.0150786754566574"/>
  </r>
  <r>
    <x v="2"/>
    <x v="23"/>
    <n v="527.89197826909992"/>
    <n v="528.33115872041742"/>
    <n v="514.13769211917202"/>
    <n v="516.8426513671875"/>
    <n v="34006400"/>
    <n v="-1.5121028709135655E-2"/>
    <n v="0.9997296416630459"/>
  </r>
  <r>
    <x v="2"/>
    <x v="24"/>
    <n v="518.83892285786521"/>
    <n v="523.97932633650885"/>
    <n v="513.62870375919601"/>
    <n v="516.06414794921875"/>
    <n v="22374700"/>
    <n v="-1.5062677507543148E-3"/>
    <n v="0.99822378114433563"/>
  </r>
  <r>
    <x v="2"/>
    <x v="25"/>
    <n v="510.80399534425788"/>
    <n v="514.58689334662586"/>
    <n v="506.89130485949948"/>
    <n v="513.36920166015625"/>
    <n v="20958700"/>
    <n v="-5.2221149246114368E-3"/>
    <n v="0.99301094183871974"/>
  </r>
  <r>
    <x v="2"/>
    <x v="26"/>
    <n v="512.34106867814819"/>
    <n v="513.86823965752092"/>
    <n v="505.63362139817252"/>
    <n v="506.21255493164063"/>
    <n v="23024300"/>
    <n v="-1.394054552819324E-2"/>
    <n v="0.97916782759402299"/>
  </r>
  <r>
    <x v="2"/>
    <x v="27"/>
    <n v="504.71536252902882"/>
    <n v="504.75529633258913"/>
    <n v="494.88375756631751"/>
    <n v="496.17135620117188"/>
    <n v="27406500"/>
    <n v="-1.9835933804179792E-2"/>
    <n v="0.95974511938268536"/>
  </r>
  <r>
    <x v="2"/>
    <x v="28"/>
    <n v="496.02163823572943"/>
    <n v="498.44709133631147"/>
    <n v="492.32853818272201"/>
    <n v="495.89187622070313"/>
    <n v="24019800"/>
    <n v="-5.6327310509926998E-4"/>
    <n v="0.95920452076918683"/>
  </r>
  <r>
    <x v="2"/>
    <x v="29"/>
    <n v="499.10586069795028"/>
    <n v="505.90313618541268"/>
    <n v="497.86815648606569"/>
    <n v="505.05471801757813"/>
    <n v="26101500"/>
    <n v="1.8477499302281285E-2"/>
    <n v="0.97692822163244464"/>
  </r>
  <r>
    <x v="2"/>
    <x v="30"/>
    <n v="503.85694933091571"/>
    <n v="508.64800052182142"/>
    <n v="501.41154455711302"/>
    <n v="507.72970581054688"/>
    <n v="17980000"/>
    <n v="5.2964316489676842E-3"/>
    <n v="0.98210245518426842"/>
  </r>
  <r>
    <x v="2"/>
    <x v="31"/>
    <n v="508.40844613571358"/>
    <n v="510.71415883107937"/>
    <n v="498.18758530403642"/>
    <n v="510.18515014648438"/>
    <n v="26574900"/>
    <n v="4.8361250244706366E-3"/>
    <n v="0.98685202544437911"/>
  </r>
  <r>
    <x v="2"/>
    <x v="32"/>
    <n v="509.35666717370731"/>
    <n v="512.54071024479003"/>
    <n v="500.3535287599438"/>
    <n v="502.34979248046881"/>
    <n v="25273100"/>
    <n v="-1.5357870890138374E-2"/>
    <n v="0.97169607944993275"/>
  </r>
  <r>
    <x v="2"/>
    <x v="33"/>
    <n v="497.29924090270032"/>
    <n v="510.64425881819602"/>
    <n v="496.51070821491908"/>
    <n v="509.22689819335938"/>
    <n v="28505700"/>
    <n v="1.3689874696540157E-2"/>
    <n v="0.98499847702072163"/>
  </r>
  <r>
    <x v="2"/>
    <x v="34"/>
    <n v="507.50015967573472"/>
    <n v="511.16328656765262"/>
    <n v="503.96676433957771"/>
    <n v="506.54193115234381"/>
    <n v="19092800"/>
    <n v="-5.2726339683573722E-3"/>
    <n v="0.97980494059200185"/>
  </r>
  <r>
    <x v="2"/>
    <x v="35"/>
    <n v="494.44458869198832"/>
    <n v="502.04038820234541"/>
    <n v="485.87063942574491"/>
    <n v="492.8675537109375"/>
    <n v="33815100"/>
    <n v="-2.6995548838964139E-2"/>
    <n v="0.95335456846559208"/>
  </r>
  <r>
    <x v="2"/>
    <x v="36"/>
    <n v="489.18443539234681"/>
    <n v="494.264922953439"/>
    <n v="481.92799720545412"/>
    <n v="486.20999145507813"/>
    <n v="23245300"/>
    <n v="-1.3507811998847822E-2"/>
    <n v="0.94047683418651606"/>
  </r>
  <r>
    <x v="2"/>
    <x v="37"/>
    <n v="492.70999145507813"/>
    <n v="493.57000732421881"/>
    <n v="475.5"/>
    <n v="478.42999267578119"/>
    <n v="26802500"/>
    <n v="-1.600131407422083E-2"/>
    <n v="0.9254279689831687"/>
  </r>
  <r>
    <x v="2"/>
    <x v="38"/>
    <n v="478.5"/>
    <n v="478.92001342773438"/>
    <n v="468.26998901367188"/>
    <n v="472.1199951171875"/>
    <n v="31769200"/>
    <n v="-1.3188967362399048E-2"/>
    <n v="0.91322252970399842"/>
  </r>
  <r>
    <x v="2"/>
    <x v="39"/>
    <n v="475"/>
    <n v="476.89999389648438"/>
    <n v="468.01998901367188"/>
    <n v="474"/>
    <n v="34421000"/>
    <n v="3.9820488482930141E-3"/>
    <n v="0.91685902642664152"/>
  </r>
  <r>
    <x v="2"/>
    <x v="40"/>
    <n v="474.07000732421881"/>
    <n v="479.14999389648438"/>
    <n v="464.8900146484375"/>
    <n v="476.989990234375"/>
    <n v="28019800"/>
    <n v="6.3079962750527425E-3"/>
    <n v="0.92264256975008929"/>
  </r>
  <r>
    <x v="2"/>
    <x v="41"/>
    <n v="486.30999755859381"/>
    <n v="488.30999755859381"/>
    <n v="481.20001220703119"/>
    <n v="485.5"/>
    <n v="25709100"/>
    <n v="1.7841065724342558E-2"/>
    <n v="0.93910349647707703"/>
  </r>
  <r>
    <x v="2"/>
    <x v="42"/>
    <n v="487.60000610351563"/>
    <n v="492.6300048828125"/>
    <n v="486.64999389648438"/>
    <n v="492.010009765625"/>
    <n v="14386700"/>
    <n v="1.3408876963182286E-2"/>
    <n v="0.95169581971703254"/>
  </r>
  <r>
    <x v="2"/>
    <x v="43"/>
    <n v="488.44000244140619"/>
    <n v="489.8599853515625"/>
    <n v="484.64999389648438"/>
    <n v="486.739990234375"/>
    <n v="23964000"/>
    <n v="-1.0711203891482692E-2"/>
    <n v="0.94150201174937165"/>
  </r>
  <r>
    <x v="2"/>
    <x v="44"/>
    <n v="486.72000122070313"/>
    <n v="493.5"/>
    <n v="486.32000732421881"/>
    <n v="490"/>
    <n v="19562700"/>
    <n v="6.6976411041452348E-3"/>
    <n v="0.94780785432289971"/>
  </r>
  <r>
    <x v="2"/>
    <x v="45"/>
    <n v="476.32000732421881"/>
    <n v="484.239990234375"/>
    <n v="475.20001220703119"/>
    <n v="477.73001098632813"/>
    <n v="34615100"/>
    <n v="-2.5040793905452805E-2"/>
    <n v="0.92407399318083061"/>
  </r>
  <r>
    <x v="2"/>
    <x v="46"/>
    <n v="479.760009765625"/>
    <n v="481.32000732421881"/>
    <n v="476.489990234375"/>
    <n v="480.83999633789063"/>
    <n v="22318200"/>
    <n v="6.5099225086185817E-3"/>
    <n v="0.9300896432686675"/>
  </r>
  <r>
    <x v="2"/>
    <x v="47"/>
    <n v="482.51998901367188"/>
    <n v="483.39999389648438"/>
    <n v="478.8800048828125"/>
    <n v="483.16000366210938"/>
    <n v="22608700"/>
    <n v="4.8249050451045668E-3"/>
    <n v="0.93457723748087396"/>
  </r>
  <r>
    <x v="2"/>
    <x v="48"/>
    <n v="484.8900146484375"/>
    <n v="492.29998779296881"/>
    <n v="484.3800048828125"/>
    <n v="491.01998901367188"/>
    <n v="21965900"/>
    <n v="1.6267872530813337E-2"/>
    <n v="0.9497808208504126"/>
  </r>
  <r>
    <x v="2"/>
    <x v="49"/>
    <n v="489.10000610351563"/>
    <n v="492.1199951171875"/>
    <n v="488.5"/>
    <n v="492.01998901367188"/>
    <n v="14696100"/>
    <n v="2.0365769670777213E-3"/>
    <n v="0.95171512259392876"/>
  </r>
  <r>
    <x v="2"/>
    <x v="50"/>
    <n v="484.02999877929688"/>
    <n v="484.25"/>
    <n v="475.07998657226563"/>
    <n v="478.55999755859381"/>
    <n v="35756200"/>
    <n v="-2.7356594763681547E-2"/>
    <n v="0.9256794376546591"/>
  </r>
  <r>
    <x v="2"/>
    <x v="51"/>
    <n v="476.6300048828125"/>
    <n v="486.02999877929688"/>
    <n v="475.8599853515625"/>
    <n v="483.47000122070313"/>
    <n v="24669200"/>
    <n v="1.025995421087854E-2"/>
    <n v="0.9351768662989477"/>
  </r>
  <r>
    <x v="2"/>
    <x v="52"/>
    <n v="479.82000732421881"/>
    <n v="482.45001220703119"/>
    <n v="476.33999633789063"/>
    <n v="478.52999877929688"/>
    <n v="21248100"/>
    <n v="-1.0217805507959837E-2"/>
    <n v="0.92562141096356176"/>
  </r>
  <r>
    <x v="2"/>
    <x v="53"/>
    <n v="480.10000610351563"/>
    <n v="480.72000122070313"/>
    <n v="472.51998901367188"/>
    <n v="474.82000732421881"/>
    <n v="23727700"/>
    <n v="-7.7528921165695942E-3"/>
    <n v="0.91844516802357434"/>
  </r>
  <r>
    <x v="2"/>
    <x v="54"/>
    <n v="471.91000366210938"/>
    <n v="477.8900146484375"/>
    <n v="470.8800048828125"/>
    <n v="476.3900146484375"/>
    <n v="20705600"/>
    <n v="3.3065315277387912E-3"/>
    <n v="0.92148203592814359"/>
  </r>
  <r>
    <x v="2"/>
    <x v="55"/>
    <n v="476.91000366210938"/>
    <n v="480"/>
    <n v="475"/>
    <n v="476.1199951171875"/>
    <n v="24527200"/>
    <n v="-5.6680350751949925E-4"/>
    <n v="0.9209597366780633"/>
  </r>
  <r>
    <x v="2"/>
    <x v="56"/>
    <n v="478.19000244140619"/>
    <n v="489.60000610351563"/>
    <n v="477.8900146484375"/>
    <n v="483.98001098632813"/>
    <n v="28573500"/>
    <n v="1.6508476749030544E-2"/>
    <n v="0.93616337907780633"/>
  </r>
  <r>
    <x v="2"/>
    <x v="57"/>
    <n v="487.3599853515625"/>
    <n v="487.85000610351563"/>
    <n v="482.489990234375"/>
    <n v="485.92001342773438"/>
    <n v="70836100"/>
    <n v="4.0084350538622821E-3"/>
    <n v="0.93991592918264399"/>
  </r>
  <r>
    <x v="2"/>
    <x v="58"/>
    <n v="486.1199951171875"/>
    <n v="488.73001098632813"/>
    <n v="482.69000244140619"/>
    <n v="484.92001342773438"/>
    <n v="16963000"/>
    <n v="-2.0579518693743188E-3"/>
    <n v="0.93798162743912794"/>
  </r>
  <r>
    <x v="2"/>
    <x v="59"/>
    <n v="484.98001098632813"/>
    <n v="487.82998657226563"/>
    <n v="484.739990234375"/>
    <n v="486.85000610351563"/>
    <n v="14683600"/>
    <n v="3.9800227302205764E-3"/>
    <n v="0.94171481563686488"/>
  </r>
  <r>
    <x v="2"/>
    <x v="60"/>
    <n v="485.67999267578119"/>
    <n v="489.16000366210938"/>
    <n v="484.82998657226563"/>
    <n v="488.01998901367188"/>
    <n v="5855900"/>
    <n v="2.4031691393416239E-3"/>
    <n v="0.94397791561986411"/>
  </r>
  <r>
    <x v="2"/>
    <x v="61"/>
    <n v="486.70999145507813"/>
    <n v="488.1199951171875"/>
    <n v="485.95999145507813"/>
    <n v="487.70999145507813"/>
    <n v="8842200"/>
    <n v="-6.3521487966154895E-4"/>
    <n v="0.94337828680179048"/>
  </r>
  <r>
    <x v="2"/>
    <x v="62"/>
    <n v="484.8599853515625"/>
    <n v="488.35000610351563"/>
    <n v="484.17999267578119"/>
    <n v="487.10000610351563"/>
    <n v="10879100"/>
    <n v="-1.2507132563403397E-3"/>
    <n v="0.94219839107274383"/>
  </r>
  <r>
    <x v="3"/>
    <x v="0"/>
    <n v="120.640998840332"/>
    <n v="120.84999847412109"/>
    <n v="117.8000030517578"/>
    <n v="119.8919982910156"/>
    <n v="38303000"/>
    <s v=""/>
    <n v="1"/>
  </r>
  <r>
    <x v="3"/>
    <x v="1"/>
    <n v="117.5490036010742"/>
    <n v="117.91400146484381"/>
    <n v="116.3209991455078"/>
    <n v="117.0899963378906"/>
    <n v="41102000"/>
    <n v="-2.3371050554380282E-2"/>
    <n v="0.97662894944561973"/>
  </r>
  <r>
    <x v="3"/>
    <x v="2"/>
    <n v="116.15000152587891"/>
    <n v="116.3330001831055"/>
    <n v="113.40000152587891"/>
    <n v="116.2529983520508"/>
    <n v="46855000"/>
    <n v="-7.1483304468167161E-3"/>
    <n v="0.96964768299105497"/>
  </r>
  <r>
    <x v="3"/>
    <x v="3"/>
    <n v="116.5"/>
    <n v="116.8000030517578"/>
    <n v="114.32199859619141"/>
    <n v="115.3320007324219"/>
    <n v="31374000"/>
    <n v="-7.922355833264793E-3"/>
    <n v="0.96196578901349905"/>
  </r>
  <r>
    <x v="3"/>
    <x v="4"/>
    <n v="116.03700256347661"/>
    <n v="116.3580017089844"/>
    <n v="114.5449981689453"/>
    <n v="116.3310012817383"/>
    <n v="29686000"/>
    <n v="8.6619545570369612E-3"/>
    <n v="0.97029829296335823"/>
  </r>
  <r>
    <x v="3"/>
    <x v="5"/>
    <n v="117.7789993286133"/>
    <n v="120.1370010375977"/>
    <n v="117.7460021972656"/>
    <n v="119.1060028076172"/>
    <n v="33091000"/>
    <n v="2.3854359502659309E-2"/>
    <n v="0.99344413726852276"/>
  </r>
  <r>
    <x v="3"/>
    <x v="6"/>
    <n v="119.71099853515619"/>
    <n v="121.73899841308589"/>
    <n v="119.1999969482422"/>
    <n v="121.4250030517578"/>
    <n v="28514000"/>
    <n v="1.9470053477374266E-2"/>
    <n v="1.0127865477479248"/>
  </r>
  <r>
    <x v="3"/>
    <x v="7"/>
    <n v="121.4250030517578"/>
    <n v="123.75"/>
    <n v="121.181999206543"/>
    <n v="123.1070022583008"/>
    <n v="28241000"/>
    <n v="1.3852165240020951E-2"/>
    <n v="1.0268158343601994"/>
  </r>
  <r>
    <x v="3"/>
    <x v="8"/>
    <n v="122.90000152587891"/>
    <n v="124.6999969482422"/>
    <n v="121.9100036621094"/>
    <n v="122.0080032348633"/>
    <n v="42798000"/>
    <n v="-8.9271853207147471E-3"/>
    <n v="1.0176492591166215"/>
  </r>
  <r>
    <x v="3"/>
    <x v="9"/>
    <n v="122.1350021362305"/>
    <n v="123.11199951171881"/>
    <n v="120.6809997558594"/>
    <n v="121.9029998779297"/>
    <n v="24608000"/>
    <n v="-8.6062679619028023E-4"/>
    <n v="1.0167734428951025"/>
  </r>
  <r>
    <x v="3"/>
    <x v="10"/>
    <n v="121.47499847412109"/>
    <n v="122.4290008544922"/>
    <n v="120.30999755859381"/>
    <n v="121.5350036621094"/>
    <n v="23624000"/>
    <n v="-3.0187625914768262E-3"/>
    <n v="1.0137040452616837"/>
  </r>
  <r>
    <x v="3"/>
    <x v="11"/>
    <n v="121.30100250244141"/>
    <n v="121.9619979858398"/>
    <n v="120.161003112793"/>
    <n v="120.32900238037109"/>
    <n v="20252000"/>
    <n v="-9.9230776763805789E-3"/>
    <n v="1.0036449812796908"/>
  </r>
  <r>
    <x v="3"/>
    <x v="12"/>
    <n v="121.2149963378906"/>
    <n v="121.67099761962891"/>
    <n v="117.59999847412109"/>
    <n v="118.359001159668"/>
    <n v="28326000"/>
    <n v="-1.6371790522086611E-2"/>
    <n v="0.98721351588763617"/>
  </r>
  <r>
    <x v="3"/>
    <x v="13"/>
    <n v="118.36000061035161"/>
    <n v="120.31199645996089"/>
    <n v="117.89499664306641"/>
    <n v="119.9359970092773"/>
    <n v="29571000"/>
    <n v="1.3323835400418036E-2"/>
    <n v="1.0003669862783908"/>
  </r>
  <r>
    <x v="3"/>
    <x v="14"/>
    <n v="120.7880020141602"/>
    <n v="124.7760009765625"/>
    <n v="120.69000244140619"/>
    <n v="123.8560028076172"/>
    <n v="39862000"/>
    <n v="3.2684147345993883E-2"/>
    <n v="1.0330631282579814"/>
  </r>
  <r>
    <x v="3"/>
    <x v="15"/>
    <n v="124.2829971313477"/>
    <n v="124.86000061035161"/>
    <n v="123.17600250244141"/>
    <n v="124.1350021362305"/>
    <n v="65082000"/>
    <n v="2.252610469325891E-3"/>
    <n v="1.03539021707617"/>
  </r>
  <r>
    <x v="3"/>
    <x v="16"/>
    <n v="114.2900009155273"/>
    <n v="115.7600021362305"/>
    <n v="111.25099945068359"/>
    <n v="111.6370010375977"/>
    <n v="147890000"/>
    <n v="-0.1006807176344752"/>
    <n v="0.93114638698922614"/>
  </r>
  <r>
    <x v="3"/>
    <x v="17"/>
    <n v="112.69000244140619"/>
    <n v="112.7829971313477"/>
    <n v="109.97299957275391"/>
    <n v="111.359001159668"/>
    <n v="68497000"/>
    <n v="-2.4902127013970523E-3"/>
    <n v="0.92882763442948557"/>
  </r>
  <r>
    <x v="3"/>
    <x v="18"/>
    <n v="111.09999847412109"/>
    <n v="111.4509963989258"/>
    <n v="109.4410018920898"/>
    <n v="109.4690017700195"/>
    <n v="60280000"/>
    <n v="-1.6972129508764078E-2"/>
    <n v="0.91306345152662938"/>
  </r>
  <r>
    <x v="3"/>
    <x v="19"/>
    <n v="110.06700134277339"/>
    <n v="110.2279968261719"/>
    <n v="108.73000335693359"/>
    <n v="109.4560012817383"/>
    <n v="46911000"/>
    <n v="-1.187595398788759E-4"/>
    <n v="0.91295501653124589"/>
  </r>
  <r>
    <x v="3"/>
    <x v="20"/>
    <n v="109.40000152587891"/>
    <n v="111.697998046875"/>
    <n v="109.30100250244141"/>
    <n v="110.25"/>
    <n v="40209000"/>
    <n v="7.2540446294759335E-3"/>
    <n v="0.91957763296586759"/>
  </r>
  <r>
    <x v="3"/>
    <x v="21"/>
    <n v="109.984001159668"/>
    <n v="110.85500335693359"/>
    <n v="109.59999847412109"/>
    <n v="110.04100036621089"/>
    <n v="33995000"/>
    <n v="-1.8956882883365545E-3"/>
    <n v="0.91783440041683795"/>
  </r>
  <r>
    <x v="3"/>
    <x v="22"/>
    <n v="109.44000244140619"/>
    <n v="110.6159973144531"/>
    <n v="108.8109970092773"/>
    <n v="108.90000152587891"/>
    <n v="41581000"/>
    <n v="-1.0368851941865324E-2"/>
    <n v="0.90831751141176498"/>
  </r>
  <r>
    <x v="3"/>
    <x v="23"/>
    <n v="110.53900146484381"/>
    <n v="113.4879989624023"/>
    <n v="110.197998046875"/>
    <n v="111.88600158691411"/>
    <n v="68665000"/>
    <n v="2.741965123228771E-2"/>
    <n v="0.93322326078285511"/>
  </r>
  <r>
    <x v="3"/>
    <x v="24"/>
    <n v="113.32399749755859"/>
    <n v="113.34999847412109"/>
    <n v="107.51499938964839"/>
    <n v="110.0090026855469"/>
    <n v="58634000"/>
    <n v="-1.6775994089923137E-2"/>
    <n v="0.91756751287538318"/>
  </r>
  <r>
    <x v="3"/>
    <x v="25"/>
    <n v="109.99900054931641"/>
    <n v="110.4599990844727"/>
    <n v="108.6679992675781"/>
    <n v="109.29599761962891"/>
    <n v="38718000"/>
    <n v="-6.4813337864363029E-3"/>
    <n v="0.91162045155284765"/>
  </r>
  <r>
    <x v="3"/>
    <x v="26"/>
    <n v="108.5"/>
    <n v="110.0849990844727"/>
    <n v="107.3369979858398"/>
    <n v="109.8460006713867"/>
    <n v="35539000"/>
    <n v="5.0322341507135025E-3"/>
    <n v="0.91620793912164067"/>
  </r>
  <r>
    <x v="3"/>
    <x v="27"/>
    <n v="109.4580001831055"/>
    <n v="110.370002746582"/>
    <n v="108.51300048828119"/>
    <n v="109.70200347900391"/>
    <n v="36532000"/>
    <n v="-1.3109006381905306E-3"/>
    <n v="0.91500688154953091"/>
  </r>
  <r>
    <x v="3"/>
    <x v="28"/>
    <n v="109.4179992675781"/>
    <n v="110.82199859619141"/>
    <n v="108.75"/>
    <n v="110.3659973144531"/>
    <n v="44125000"/>
    <n v="6.0527047309238387E-3"/>
    <n v="0.92054514803031362"/>
  </r>
  <r>
    <x v="3"/>
    <x v="29"/>
    <n v="110.6719970703125"/>
    <n v="112.8199996948242"/>
    <n v="110.4049987792969"/>
    <n v="112.0070037841797"/>
    <n v="36929000"/>
    <n v="1.4868768548804709E-2"/>
    <n v="0.93423252077510155"/>
  </r>
  <r>
    <x v="3"/>
    <x v="30"/>
    <n v="111.7600021362305"/>
    <n v="113.9219970703125"/>
    <n v="111.2799987792969"/>
    <n v="113.6439971923828"/>
    <n v="27966000"/>
    <n v="1.4615098635772202E-2"/>
    <n v="0.94788642121497579"/>
  </r>
  <r>
    <x v="3"/>
    <x v="31"/>
    <n v="113.81700134277339"/>
    <n v="116.4339981079102"/>
    <n v="112.8259963989258"/>
    <n v="115.75"/>
    <n v="39221000"/>
    <n v="1.853157984272627E-2"/>
    <n v="0.96545225411155722"/>
  </r>
  <r>
    <x v="3"/>
    <x v="32"/>
    <n v="115.84999847412109"/>
    <n v="116.7330017089844"/>
    <n v="114.5690002441406"/>
    <n v="115.42299652099609"/>
    <n v="40144000"/>
    <n v="-2.8250840518696005E-3"/>
    <n v="0.96272477034562509"/>
  </r>
  <r>
    <x v="3"/>
    <x v="33"/>
    <n v="114.2730026245117"/>
    <n v="114.2730026245117"/>
    <n v="110.7210006713867"/>
    <n v="111.2170028686523"/>
    <n v="47607000"/>
    <n v="-3.6439823770982233E-2"/>
    <n v="0.92764324937427123"/>
  </r>
  <r>
    <x v="3"/>
    <x v="34"/>
    <n v="110.75"/>
    <n v="111.84999847412109"/>
    <n v="109.5500030517578"/>
    <n v="110.2900009155273"/>
    <n v="26082700"/>
    <n v="-8.3350740373735188E-3"/>
    <n v="0.91991127421046692"/>
  </r>
  <r>
    <x v="3"/>
    <x v="35"/>
    <n v="110.2900009155273"/>
    <n v="115.25"/>
    <n v="109.1999969482422"/>
    <n v="114.0899963378906"/>
    <n v="43440600"/>
    <n v="3.4454577847666958E-2"/>
    <n v="0.95160642882069801"/>
  </r>
  <r>
    <x v="3"/>
    <x v="36"/>
    <n v="113"/>
    <n v="113.3399963378906"/>
    <n v="108.61000061035161"/>
    <n v="110"/>
    <n v="31868100"/>
    <n v="-3.584886027849106E-2"/>
    <n v="0.91749242291379096"/>
  </r>
  <r>
    <x v="3"/>
    <x v="37"/>
    <n v="111"/>
    <n v="111.09999847412109"/>
    <n v="105.38999938964839"/>
    <n v="105.6699981689453"/>
    <n v="36918500"/>
    <n v="-3.9363653009588197E-2"/>
    <n v="0.88137656953928611"/>
  </r>
  <r>
    <x v="3"/>
    <x v="38"/>
    <n v="105.129997253418"/>
    <n v="106.5299987792969"/>
    <n v="103.80999755859381"/>
    <n v="104.30999755859381"/>
    <n v="41232700"/>
    <n v="-1.2870262457818171E-2"/>
    <n v="0.87003302176514408"/>
  </r>
  <r>
    <x v="3"/>
    <x v="39"/>
    <n v="104.25"/>
    <n v="108.0400009155273"/>
    <n v="103.3199996948242"/>
    <n v="106.9700012207031"/>
    <n v="62918300"/>
    <n v="2.5500946451610183E-2"/>
    <n v="0.89221968726430967"/>
  </r>
  <r>
    <x v="3"/>
    <x v="40"/>
    <n v="106.120002746582"/>
    <n v="106.3000030517578"/>
    <n v="103.8199996948242"/>
    <n v="104.40000152587891"/>
    <n v="35122600"/>
    <n v="-2.4025424562926802E-2"/>
    <n v="0.87078373047438284"/>
  </r>
  <r>
    <x v="3"/>
    <x v="41"/>
    <n v="105.7399978637695"/>
    <n v="106.9499969482422"/>
    <n v="105.2200012207031"/>
    <n v="106.13999938964839"/>
    <n v="27951000"/>
    <n v="1.6666645961093917E-2"/>
    <n v="0.88529677461888012"/>
  </r>
  <r>
    <x v="3"/>
    <x v="42"/>
    <n v="106.44000244140619"/>
    <n v="107.94000244140619"/>
    <n v="106.2399978637695"/>
    <n v="107.5800018310547"/>
    <n v="15021600"/>
    <n v="1.3567010078075686E-2"/>
    <n v="0.89730760488222228"/>
  </r>
  <r>
    <x v="3"/>
    <x v="43"/>
    <n v="106.5100021362305"/>
    <n v="109.3399963378906"/>
    <n v="106.30999755859381"/>
    <n v="109.129997253418"/>
    <n v="24873400"/>
    <n v="1.4407839709813653E-2"/>
    <n v="0.91023586902376219"/>
  </r>
  <r>
    <x v="3"/>
    <x v="44"/>
    <n v="109.2099990844727"/>
    <n v="109.73000335693359"/>
    <n v="107.51999664306641"/>
    <n v="109.34999847412109"/>
    <n v="25763000"/>
    <n v="2.0159555231383098E-3"/>
    <n v="0.91207086405127924"/>
  </r>
  <r>
    <x v="3"/>
    <x v="45"/>
    <n v="106.5899963378906"/>
    <n v="106.870002746582"/>
    <n v="102.0299987792969"/>
    <n v="103.9599990844727"/>
    <n v="53593400"/>
    <n v="-4.9291261681398184E-2"/>
    <n v="0.86711374041934863"/>
  </r>
  <r>
    <x v="3"/>
    <x v="46"/>
    <n v="103.5699996948242"/>
    <n v="103.8000030517578"/>
    <n v="101.76999664306641"/>
    <n v="103.2200012207031"/>
    <n v="51779100"/>
    <n v="-7.1181018688574347E-3"/>
    <n v="0.86094153648315774"/>
  </r>
  <r>
    <x v="3"/>
    <x v="47"/>
    <n v="98.779998779296875"/>
    <n v="104.7900009155273"/>
    <n v="97.739997863769531"/>
    <n v="100.2399978637695"/>
    <n v="133363600"/>
    <n v="-2.8870406139230764E-2"/>
    <n v="0.83608580466275562"/>
  </r>
  <r>
    <x v="3"/>
    <x v="48"/>
    <n v="99.870002746582031"/>
    <n v="99.889999389648438"/>
    <n v="95.300003051757813"/>
    <n v="96.790000915527344"/>
    <n v="100906300"/>
    <n v="-3.4417368533176292E-2"/>
    <n v="0.8073099313983203"/>
  </r>
  <r>
    <x v="3"/>
    <x v="49"/>
    <n v="97.029998779296875"/>
    <n v="97.239997863769531"/>
    <n v="95.449996948242188"/>
    <n v="96.709999084472656"/>
    <n v="51745600"/>
    <n v="-8.2655057648473853E-4"/>
    <n v="0.80664264890912118"/>
  </r>
  <r>
    <x v="3"/>
    <x v="50"/>
    <n v="96.739997863769531"/>
    <n v="96.970001220703125"/>
    <n v="92.349998474121094"/>
    <n v="92.709999084472656"/>
    <n v="74129300"/>
    <n v="-4.136076970186036E-2"/>
    <n v="0.77327928807589241"/>
  </r>
  <r>
    <x v="3"/>
    <x v="51"/>
    <n v="93.900001525878906"/>
    <n v="94.819999694824219"/>
    <n v="92.760002136230469"/>
    <n v="94.089996337890625"/>
    <n v="43949000"/>
    <n v="1.4885096182134412E-2"/>
    <n v="0.7847896246545546"/>
  </r>
  <r>
    <x v="3"/>
    <x v="52"/>
    <n v="95.5"/>
    <n v="96.919998168945313"/>
    <n v="94.650001525878906"/>
    <n v="95.19000244140625"/>
    <n v="49323100"/>
    <n v="1.169099953586294E-2"/>
    <n v="0.79396459979214107"/>
  </r>
  <r>
    <x v="3"/>
    <x v="53"/>
    <n v="96.019996643066406"/>
    <n v="96.370002746582031"/>
    <n v="93.529998779296875"/>
    <n v="93.769996643066406"/>
    <n v="40016500"/>
    <n v="-1.4917593885071297E-2"/>
    <n v="0.78212055833331873"/>
  </r>
  <r>
    <x v="3"/>
    <x v="54"/>
    <n v="93.879997253417969"/>
    <n v="94.930000305175781"/>
    <n v="93.319999694824219"/>
    <n v="94.569999694824219"/>
    <n v="34265000"/>
    <n v="8.5315461277343102E-3"/>
    <n v="0.7887932559541887"/>
  </r>
  <r>
    <x v="3"/>
    <x v="55"/>
    <n v="95.980003356933594"/>
    <n v="97.330001831054688"/>
    <n v="94.459999084472656"/>
    <n v="94.790000915527344"/>
    <n v="50472800"/>
    <n v="2.3263320441267335E-3"/>
    <n v="0.79062825098170597"/>
  </r>
  <r>
    <x v="3"/>
    <x v="56"/>
    <n v="95.019996643066406"/>
    <n v="95.80999755859375"/>
    <n v="93.589996337890625"/>
    <n v="94"/>
    <n v="37244700"/>
    <n v="-8.3342220476541364E-3"/>
    <n v="0.78403897958087598"/>
  </r>
  <r>
    <x v="3"/>
    <x v="57"/>
    <n v="93.569999694824219"/>
    <n v="95.540000915527344"/>
    <n v="93.449996948242188"/>
    <n v="94.389999389648438"/>
    <n v="78990200"/>
    <n v="4.1489296771110374E-3"/>
    <n v="0.78729190217127099"/>
  </r>
  <r>
    <x v="3"/>
    <x v="58"/>
    <n v="94.709999084472656"/>
    <n v="94.709999084472656"/>
    <n v="92.910003662109375"/>
    <n v="93.230003356933594"/>
    <n v="39484800"/>
    <n v="-1.2289395489095195E-2"/>
    <n v="0.77761656062012618"/>
  </r>
  <r>
    <x v="3"/>
    <x v="59"/>
    <n v="93.400001525878906"/>
    <n v="93.80999755859375"/>
    <n v="91.330001831054688"/>
    <n v="93.5"/>
    <n v="25896200"/>
    <n v="2.8960273875859124E-3"/>
    <n v="0.77986855947672251"/>
  </r>
  <r>
    <x v="3"/>
    <x v="60"/>
    <n v="93.110000610351563"/>
    <n v="93.680000305175781"/>
    <n v="92.669998168945313"/>
    <n v="93.639999389648438"/>
    <n v="12427900"/>
    <n v="1.4973196753843582E-3"/>
    <n v="0.78103627201504078"/>
  </r>
  <r>
    <x v="3"/>
    <x v="61"/>
    <n v="93.480003356933594"/>
    <n v="94.69000244140625"/>
    <n v="93.269996643066406"/>
    <n v="94.470001220703125"/>
    <n v="22068300"/>
    <n v="8.8637530592128692E-3"/>
    <n v="0.78795918466047032"/>
  </r>
  <r>
    <x v="3"/>
    <x v="62"/>
    <n v="93.989997863769531"/>
    <n v="94.970001220703125"/>
    <n v="93.629997253417969"/>
    <n v="94.150001525878906"/>
    <n v="24445900"/>
    <n v="-3.3873154513529395E-3"/>
    <n v="0.785290118339234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C489F-9227-4415-89E8-4ADA57806519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C7" firstHeaderRow="0" firstDataRow="1" firstDataCol="1"/>
  <pivotFields count="9">
    <pivotField axis="axisRow" showAll="0">
      <items count="5">
        <item x="0"/>
        <item x="1"/>
        <item x="2"/>
        <item x="3"/>
        <item t="default"/>
      </items>
    </pivotField>
    <pivotField numFmtId="14" showAll="0"/>
    <pivotField numFmtId="164" showAll="0"/>
    <pivotField numFmtId="164" showAll="0"/>
    <pivotField numFmtId="164" showAll="0"/>
    <pivotField numFmtId="164" showAll="0"/>
    <pivotField numFmtId="3" showAll="0"/>
    <pivotField dataField="1" showAll="0"/>
    <pivotField numFmtId="10"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Average of Daily Return" fld="7" subtotal="average" baseField="0" baseItem="0"/>
    <dataField name="Volatility" fld="7" subtotal="stdDev" baseField="0" baseItem="0"/>
  </dataFields>
  <formats count="8">
    <format dxfId="24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0"/>
          </reference>
          <reference field="0" count="1">
            <x v="2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0"/>
          </reference>
          <reference field="0" count="1">
            <x v="3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1"/>
          </reference>
          <reference field="0" count="1">
            <x v="1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1"/>
          </reference>
          <reference field="0" count="1">
            <x v="3"/>
          </reference>
        </references>
      </pivotArea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ED93DC-76F1-4394-86BB-FF84D41F4A8C}" name="Table1" displayName="Table1" ref="A1:I253" totalsRowShown="0" headerRowDxfId="58" headerRowBorderDxfId="57" tableBorderDxfId="56">
  <autoFilter ref="A1:I253" xr:uid="{38ED93DC-76F1-4394-86BB-FF84D41F4A8C}"/>
  <sortState xmlns:xlrd2="http://schemas.microsoft.com/office/spreadsheetml/2017/richdata2" ref="A2:G253">
    <sortCondition ref="A1:A253"/>
  </sortState>
  <tableColumns count="9">
    <tableColumn id="1" xr3:uid="{E7D7BB01-399F-414D-BAAA-8CDC8A5B4FE9}" name="Ticker"/>
    <tableColumn id="2" xr3:uid="{3DE21F2D-AEBE-4B0B-96B8-CC06F216A3BB}" name="Date" dataDxfId="55"/>
    <tableColumn id="3" xr3:uid="{40444E39-4E10-49F2-916D-FD61DDE98526}" name="Open" dataDxfId="54"/>
    <tableColumn id="4" xr3:uid="{51004B07-2F0E-44DF-B362-5F61168F79A9}" name="High" dataDxfId="53"/>
    <tableColumn id="5" xr3:uid="{AFCD5F70-4549-4533-9D0E-CFCD22ACD8CC}" name="Low" dataDxfId="52"/>
    <tableColumn id="6" xr3:uid="{8A7512EA-50E5-4C20-A8C4-8F7E0A9E8207}" name="Close" dataDxfId="51"/>
    <tableColumn id="7" xr3:uid="{4A0F046F-B454-4BAF-A568-6DF64C9E979A}" name="Volume" dataDxfId="50"/>
    <tableColumn id="8" xr3:uid="{476C215D-E52B-4982-8DD9-1278A7633D89}" name="Daily Return" dataDxfId="49">
      <calculatedColumnFormula>IF(A2=A1,(F2-F1)/F1,"")</calculatedColumnFormula>
    </tableColumn>
    <tableColumn id="9" xr3:uid="{4096E63F-C8D1-4F31-AEF4-8F58F8364A61}" name="Cumulative Return Index" dataDxfId="48">
      <calculatedColumnFormula>1+H2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3"/>
  <sheetViews>
    <sheetView tabSelected="1" workbookViewId="0">
      <selection activeCell="L18" sqref="L18"/>
    </sheetView>
  </sheetViews>
  <sheetFormatPr defaultRowHeight="14.5" x14ac:dyDescent="0.35"/>
  <cols>
    <col min="1" max="1" width="10.36328125" customWidth="1"/>
    <col min="2" max="2" width="12.26953125" style="1" customWidth="1"/>
    <col min="3" max="3" width="12.7265625" style="4" customWidth="1"/>
    <col min="4" max="4" width="16.26953125" style="4" customWidth="1"/>
    <col min="5" max="5" width="12.08984375" style="4" customWidth="1"/>
    <col min="6" max="6" width="12.90625" style="4" customWidth="1"/>
    <col min="7" max="7" width="13" style="6" customWidth="1"/>
    <col min="8" max="8" width="18.6328125" customWidth="1"/>
    <col min="9" max="9" width="25.26953125" style="8" customWidth="1"/>
    <col min="11" max="11" width="10.26953125" customWidth="1"/>
  </cols>
  <sheetData>
    <row r="1" spans="1:9" x14ac:dyDescent="0.35">
      <c r="A1" s="7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7" t="s">
        <v>11</v>
      </c>
      <c r="I1" s="9" t="s">
        <v>12</v>
      </c>
    </row>
    <row r="2" spans="1:9" x14ac:dyDescent="0.35">
      <c r="A2" t="s">
        <v>7</v>
      </c>
      <c r="B2" s="1">
        <v>45930</v>
      </c>
      <c r="C2" s="4">
        <v>254.6131805801717</v>
      </c>
      <c r="D2" s="4">
        <v>255.67215158054219</v>
      </c>
      <c r="E2" s="4">
        <v>252.86487537359471</v>
      </c>
      <c r="F2" s="4">
        <v>254.38340759277341</v>
      </c>
      <c r="G2" s="6">
        <v>37704300</v>
      </c>
      <c r="H2" s="8" t="str">
        <f t="shared" ref="H2:H65" si="0">IF(A2=A1,(F2-F1)/F1,"")</f>
        <v/>
      </c>
      <c r="I2" s="8">
        <v>1</v>
      </c>
    </row>
    <row r="3" spans="1:9" x14ac:dyDescent="0.35">
      <c r="A3" t="s">
        <v>7</v>
      </c>
      <c r="B3" s="1">
        <v>45931</v>
      </c>
      <c r="C3" s="4">
        <v>254.79299960742611</v>
      </c>
      <c r="D3" s="4">
        <v>258.53938316103807</v>
      </c>
      <c r="E3" s="4">
        <v>254.68310552725069</v>
      </c>
      <c r="F3" s="4">
        <v>255.2026062011719</v>
      </c>
      <c r="G3" s="6">
        <v>48713900</v>
      </c>
      <c r="H3" s="8">
        <f t="shared" si="0"/>
        <v>3.2203303515373084E-3</v>
      </c>
      <c r="I3" s="8">
        <f>I2*(1+H3)</f>
        <v>1.0032203303515372</v>
      </c>
    </row>
    <row r="4" spans="1:9" x14ac:dyDescent="0.35">
      <c r="A4" t="s">
        <v>7</v>
      </c>
      <c r="B4" s="1">
        <v>45932</v>
      </c>
      <c r="C4" s="4">
        <v>256.33149581258527</v>
      </c>
      <c r="D4" s="4">
        <v>257.92995235357478</v>
      </c>
      <c r="E4" s="4">
        <v>253.90385651881991</v>
      </c>
      <c r="F4" s="4">
        <v>256.8809814453125</v>
      </c>
      <c r="G4" s="6">
        <v>42630200</v>
      </c>
      <c r="H4" s="8">
        <f t="shared" si="0"/>
        <v>6.5766383389422043E-3</v>
      </c>
      <c r="I4" s="8">
        <f t="shared" ref="I4:I67" si="1">I3*(1+H4)</f>
        <v>1.0098181476385335</v>
      </c>
    </row>
    <row r="5" spans="1:9" x14ac:dyDescent="0.35">
      <c r="A5" t="s">
        <v>7</v>
      </c>
      <c r="B5" s="1">
        <v>45933</v>
      </c>
      <c r="C5" s="4">
        <v>254.42336451804391</v>
      </c>
      <c r="D5" s="4">
        <v>258.98893080173337</v>
      </c>
      <c r="E5" s="4">
        <v>253.7040605782573</v>
      </c>
      <c r="F5" s="4">
        <v>257.77011108398438</v>
      </c>
      <c r="G5" s="6">
        <v>49155600</v>
      </c>
      <c r="H5" s="8">
        <f t="shared" si="0"/>
        <v>3.4612513299711219E-3</v>
      </c>
      <c r="I5" s="8">
        <f t="shared" si="1"/>
        <v>1.0133133820450764</v>
      </c>
    </row>
    <row r="6" spans="1:9" x14ac:dyDescent="0.35">
      <c r="A6" t="s">
        <v>7</v>
      </c>
      <c r="B6" s="1">
        <v>45936</v>
      </c>
      <c r="C6" s="4">
        <v>257.74013504569137</v>
      </c>
      <c r="D6" s="4">
        <v>258.81910617296302</v>
      </c>
      <c r="E6" s="4">
        <v>254.80299514816289</v>
      </c>
      <c r="F6" s="4">
        <v>256.44140625</v>
      </c>
      <c r="G6" s="6">
        <v>44664100</v>
      </c>
      <c r="H6" s="8">
        <f t="shared" si="0"/>
        <v>-5.1546117135026111E-3</v>
      </c>
      <c r="I6" s="8">
        <f t="shared" si="1"/>
        <v>1.0080901450165378</v>
      </c>
    </row>
    <row r="7" spans="1:9" x14ac:dyDescent="0.35">
      <c r="A7" t="s">
        <v>7</v>
      </c>
      <c r="B7" s="1">
        <v>45937</v>
      </c>
      <c r="C7" s="4">
        <v>256.56129542181247</v>
      </c>
      <c r="D7" s="4">
        <v>257.15072039039768</v>
      </c>
      <c r="E7" s="4">
        <v>255.18262697514501</v>
      </c>
      <c r="F7" s="4">
        <v>256.23162841796881</v>
      </c>
      <c r="G7" s="6">
        <v>31955800</v>
      </c>
      <c r="H7" s="8">
        <f t="shared" si="0"/>
        <v>-8.180341665522011E-4</v>
      </c>
      <c r="I7" s="8">
        <f t="shared" si="1"/>
        <v>1.0072654928349496</v>
      </c>
    </row>
    <row r="8" spans="1:9" x14ac:dyDescent="0.35">
      <c r="A8" t="s">
        <v>7</v>
      </c>
      <c r="B8" s="1">
        <v>45938</v>
      </c>
      <c r="C8" s="4">
        <v>256.2715719294531</v>
      </c>
      <c r="D8" s="4">
        <v>258.26963510507409</v>
      </c>
      <c r="E8" s="4">
        <v>255.8619653198879</v>
      </c>
      <c r="F8" s="4">
        <v>257.81008911132813</v>
      </c>
      <c r="G8" s="6">
        <v>36496900</v>
      </c>
      <c r="H8" s="8">
        <f t="shared" si="0"/>
        <v>6.1602882638068001E-3</v>
      </c>
      <c r="I8" s="8">
        <f t="shared" si="1"/>
        <v>1.0134705386289982</v>
      </c>
    </row>
    <row r="9" spans="1:9" x14ac:dyDescent="0.35">
      <c r="A9" t="s">
        <v>7</v>
      </c>
      <c r="B9" s="1">
        <v>45939</v>
      </c>
      <c r="C9" s="4">
        <v>257.56031366908991</v>
      </c>
      <c r="D9" s="4">
        <v>257.75013209688518</v>
      </c>
      <c r="E9" s="4">
        <v>252.89483830111371</v>
      </c>
      <c r="F9" s="4">
        <v>253.79396057128909</v>
      </c>
      <c r="G9" s="6">
        <v>38322000</v>
      </c>
      <c r="H9" s="8">
        <f t="shared" si="0"/>
        <v>-1.5577856374367026E-2</v>
      </c>
      <c r="I9" s="8">
        <f t="shared" si="1"/>
        <v>0.99768284013858322</v>
      </c>
    </row>
    <row r="10" spans="1:9" x14ac:dyDescent="0.35">
      <c r="A10" t="s">
        <v>7</v>
      </c>
      <c r="B10" s="1">
        <v>45940</v>
      </c>
      <c r="C10" s="4">
        <v>254.69310389004829</v>
      </c>
      <c r="D10" s="4">
        <v>256.13171175032443</v>
      </c>
      <c r="E10" s="4">
        <v>243.7636963757966</v>
      </c>
      <c r="F10" s="4">
        <v>245.032470703125</v>
      </c>
      <c r="G10" s="6">
        <v>61999100</v>
      </c>
      <c r="H10" s="8">
        <f t="shared" si="0"/>
        <v>-3.4522058162621425E-2</v>
      </c>
      <c r="I10" s="8">
        <f t="shared" si="1"/>
        <v>0.96324077510346973</v>
      </c>
    </row>
    <row r="11" spans="1:9" x14ac:dyDescent="0.35">
      <c r="A11" t="s">
        <v>7</v>
      </c>
      <c r="B11" s="1">
        <v>45943</v>
      </c>
      <c r="C11" s="4">
        <v>249.13848619669531</v>
      </c>
      <c r="D11" s="4">
        <v>249.44818352992391</v>
      </c>
      <c r="E11" s="4">
        <v>245.32217845998099</v>
      </c>
      <c r="F11" s="4">
        <v>247.42015075683591</v>
      </c>
      <c r="G11" s="6">
        <v>38142900</v>
      </c>
      <c r="H11" s="8">
        <f t="shared" si="0"/>
        <v>9.7443414207897382E-3</v>
      </c>
      <c r="I11" s="8">
        <f t="shared" si="1"/>
        <v>0.97262692208650414</v>
      </c>
    </row>
    <row r="12" spans="1:9" x14ac:dyDescent="0.35">
      <c r="A12" t="s">
        <v>7</v>
      </c>
      <c r="B12" s="1">
        <v>45944</v>
      </c>
      <c r="C12" s="4">
        <v>246.36117950382101</v>
      </c>
      <c r="D12" s="4">
        <v>248.60900042906019</v>
      </c>
      <c r="E12" s="4">
        <v>244.46301046499011</v>
      </c>
      <c r="F12" s="4">
        <v>247.53004455566409</v>
      </c>
      <c r="G12" s="6">
        <v>35478000</v>
      </c>
      <c r="H12" s="8">
        <f t="shared" si="0"/>
        <v>4.4415864468608007E-4</v>
      </c>
      <c r="I12" s="8">
        <f t="shared" si="1"/>
        <v>0.97305892274200334</v>
      </c>
    </row>
    <row r="13" spans="1:9" x14ac:dyDescent="0.35">
      <c r="A13" t="s">
        <v>7</v>
      </c>
      <c r="B13" s="1">
        <v>45945</v>
      </c>
      <c r="C13" s="4">
        <v>249.24838988167789</v>
      </c>
      <c r="D13" s="4">
        <v>251.5761352503302</v>
      </c>
      <c r="E13" s="4">
        <v>247.23034185819191</v>
      </c>
      <c r="F13" s="4">
        <v>249.09852600097659</v>
      </c>
      <c r="G13" s="6">
        <v>33893600</v>
      </c>
      <c r="H13" s="8">
        <f t="shared" si="0"/>
        <v>6.3365295640294798E-3</v>
      </c>
      <c r="I13" s="8">
        <f t="shared" si="1"/>
        <v>0.97922473937350063</v>
      </c>
    </row>
    <row r="14" spans="1:9" x14ac:dyDescent="0.35">
      <c r="A14" t="s">
        <v>7</v>
      </c>
      <c r="B14" s="1">
        <v>45946</v>
      </c>
      <c r="C14" s="4">
        <v>248.00958596667439</v>
      </c>
      <c r="D14" s="4">
        <v>248.79881419551731</v>
      </c>
      <c r="E14" s="4">
        <v>244.89261236251841</v>
      </c>
      <c r="F14" s="4">
        <v>247.2103576660156</v>
      </c>
      <c r="G14" s="6">
        <v>39777000</v>
      </c>
      <c r="H14" s="8">
        <f t="shared" si="0"/>
        <v>-7.5800060533220172E-3</v>
      </c>
      <c r="I14" s="8">
        <f t="shared" si="1"/>
        <v>0.9718022099214868</v>
      </c>
    </row>
    <row r="15" spans="1:9" x14ac:dyDescent="0.35">
      <c r="A15" t="s">
        <v>7</v>
      </c>
      <c r="B15" s="1">
        <v>45947</v>
      </c>
      <c r="C15" s="4">
        <v>247.7798007020763</v>
      </c>
      <c r="D15" s="4">
        <v>253.13461023404031</v>
      </c>
      <c r="E15" s="4">
        <v>247.03052706557389</v>
      </c>
      <c r="F15" s="4">
        <v>252.045654296875</v>
      </c>
      <c r="G15" s="6">
        <v>49147000</v>
      </c>
      <c r="H15" s="8">
        <f t="shared" si="0"/>
        <v>1.9559441912186996E-2</v>
      </c>
      <c r="I15" s="8">
        <f t="shared" si="1"/>
        <v>0.99081011879658099</v>
      </c>
    </row>
    <row r="16" spans="1:9" x14ac:dyDescent="0.35">
      <c r="A16" t="s">
        <v>7</v>
      </c>
      <c r="B16" s="1">
        <v>45950</v>
      </c>
      <c r="C16" s="4">
        <v>255.6421817765318</v>
      </c>
      <c r="D16" s="4">
        <v>264.1239650925819</v>
      </c>
      <c r="E16" s="4">
        <v>255.3824390623343</v>
      </c>
      <c r="F16" s="4">
        <v>261.98602294921881</v>
      </c>
      <c r="G16" s="6">
        <v>90483000</v>
      </c>
      <c r="H16" s="8">
        <f t="shared" si="0"/>
        <v>3.9438762315002755E-2</v>
      </c>
      <c r="I16" s="8">
        <f t="shared" si="1"/>
        <v>1.029886443571099</v>
      </c>
    </row>
    <row r="17" spans="1:9" x14ac:dyDescent="0.35">
      <c r="A17" t="s">
        <v>7</v>
      </c>
      <c r="B17" s="1">
        <v>45951</v>
      </c>
      <c r="C17" s="4">
        <v>261.6263807259345</v>
      </c>
      <c r="D17" s="4">
        <v>265.03308188580002</v>
      </c>
      <c r="E17" s="4">
        <v>261.57641085685549</v>
      </c>
      <c r="F17" s="4">
        <v>262.5155029296875</v>
      </c>
      <c r="G17" s="6">
        <v>46695900</v>
      </c>
      <c r="H17" s="8">
        <f t="shared" si="0"/>
        <v>2.0210237725976823E-3</v>
      </c>
      <c r="I17" s="8">
        <f t="shared" si="1"/>
        <v>1.0319678685566323</v>
      </c>
    </row>
    <row r="18" spans="1:9" x14ac:dyDescent="0.35">
      <c r="A18" t="s">
        <v>7</v>
      </c>
      <c r="B18" s="1">
        <v>45952</v>
      </c>
      <c r="C18" s="4">
        <v>262.39562109793121</v>
      </c>
      <c r="D18" s="4">
        <v>262.59543959597318</v>
      </c>
      <c r="E18" s="4">
        <v>255.1826123461363</v>
      </c>
      <c r="F18" s="4">
        <v>258.19970703125</v>
      </c>
      <c r="G18" s="6">
        <v>45015300</v>
      </c>
      <c r="H18" s="8">
        <f t="shared" si="0"/>
        <v>-1.6440156296572885E-2</v>
      </c>
      <c r="I18" s="8">
        <f t="shared" si="1"/>
        <v>1.0150021555045201</v>
      </c>
    </row>
    <row r="19" spans="1:9" x14ac:dyDescent="0.35">
      <c r="A19" t="s">
        <v>7</v>
      </c>
      <c r="B19" s="1">
        <v>45953</v>
      </c>
      <c r="C19" s="4">
        <v>259.68824995662283</v>
      </c>
      <c r="D19" s="4">
        <v>260.36758405794768</v>
      </c>
      <c r="E19" s="4">
        <v>257.76012648314662</v>
      </c>
      <c r="F19" s="4">
        <v>259.32858276367188</v>
      </c>
      <c r="G19" s="6">
        <v>32754900</v>
      </c>
      <c r="H19" s="8">
        <f t="shared" si="0"/>
        <v>4.3721030724688109E-3</v>
      </c>
      <c r="I19" s="8">
        <f t="shared" si="1"/>
        <v>1.0194398495471639</v>
      </c>
    </row>
    <row r="20" spans="1:9" x14ac:dyDescent="0.35">
      <c r="A20" t="s">
        <v>7</v>
      </c>
      <c r="B20" s="1">
        <v>45954</v>
      </c>
      <c r="C20" s="4">
        <v>260.93706434715568</v>
      </c>
      <c r="D20" s="4">
        <v>263.87421967110862</v>
      </c>
      <c r="E20" s="4">
        <v>258.9290010880386</v>
      </c>
      <c r="F20" s="4">
        <v>262.56549072265619</v>
      </c>
      <c r="G20" s="6">
        <v>38253700</v>
      </c>
      <c r="H20" s="8">
        <f t="shared" si="0"/>
        <v>1.2481878875396228E-2</v>
      </c>
      <c r="I20" s="8">
        <f t="shared" si="1"/>
        <v>1.0321643742699638</v>
      </c>
    </row>
    <row r="21" spans="1:9" x14ac:dyDescent="0.35">
      <c r="A21" t="s">
        <v>7</v>
      </c>
      <c r="B21" s="1">
        <v>45957</v>
      </c>
      <c r="C21" s="4">
        <v>264.62346566524872</v>
      </c>
      <c r="D21" s="4">
        <v>268.85934942213521</v>
      </c>
      <c r="E21" s="4">
        <v>264.39367744710762</v>
      </c>
      <c r="F21" s="4">
        <v>268.54965209960938</v>
      </c>
      <c r="G21" s="6">
        <v>44888200</v>
      </c>
      <c r="H21" s="8">
        <f t="shared" si="0"/>
        <v>2.2791119124158467E-2</v>
      </c>
      <c r="I21" s="8">
        <f t="shared" si="1"/>
        <v>1.0556885554796631</v>
      </c>
    </row>
    <row r="22" spans="1:9" x14ac:dyDescent="0.35">
      <c r="A22" t="s">
        <v>7</v>
      </c>
      <c r="B22" s="1">
        <v>45958</v>
      </c>
      <c r="C22" s="4">
        <v>268.72947136445669</v>
      </c>
      <c r="D22" s="4">
        <v>269.62862409796691</v>
      </c>
      <c r="E22" s="4">
        <v>267.89028856946589</v>
      </c>
      <c r="F22" s="4">
        <v>268.73947143554688</v>
      </c>
      <c r="G22" s="6">
        <v>41534800</v>
      </c>
      <c r="H22" s="8">
        <f t="shared" si="0"/>
        <v>7.0683143490758629E-4</v>
      </c>
      <c r="I22" s="8">
        <f t="shared" si="1"/>
        <v>1.0564347493361483</v>
      </c>
    </row>
    <row r="23" spans="1:9" x14ac:dyDescent="0.35">
      <c r="A23" t="s">
        <v>7</v>
      </c>
      <c r="B23" s="1">
        <v>45959</v>
      </c>
      <c r="C23" s="4">
        <v>269.01920560410508</v>
      </c>
      <c r="D23" s="4">
        <v>271.14714761281232</v>
      </c>
      <c r="E23" s="4">
        <v>266.85129379808268</v>
      </c>
      <c r="F23" s="4">
        <v>269.43881225585938</v>
      </c>
      <c r="G23" s="6">
        <v>51086700</v>
      </c>
      <c r="H23" s="8">
        <f t="shared" si="0"/>
        <v>2.6023003490212131E-3</v>
      </c>
      <c r="I23" s="8">
        <f t="shared" si="1"/>
        <v>1.059183909853064</v>
      </c>
    </row>
    <row r="24" spans="1:9" x14ac:dyDescent="0.35">
      <c r="A24" t="s">
        <v>7</v>
      </c>
      <c r="B24" s="1">
        <v>45960</v>
      </c>
      <c r="C24" s="4">
        <v>271.72657092903921</v>
      </c>
      <c r="D24" s="4">
        <v>273.87451306817258</v>
      </c>
      <c r="E24" s="4">
        <v>268.21999105717691</v>
      </c>
      <c r="F24" s="4">
        <v>271.13714599609381</v>
      </c>
      <c r="G24" s="6">
        <v>69886500</v>
      </c>
      <c r="H24" s="8">
        <f t="shared" si="0"/>
        <v>6.3032260497856273E-3</v>
      </c>
      <c r="I24" s="8">
        <f t="shared" si="1"/>
        <v>1.0658601854651637</v>
      </c>
    </row>
    <row r="25" spans="1:9" x14ac:dyDescent="0.35">
      <c r="A25" t="s">
        <v>7</v>
      </c>
      <c r="B25" s="1">
        <v>45961</v>
      </c>
      <c r="C25" s="4">
        <v>276.72173825534202</v>
      </c>
      <c r="D25" s="4">
        <v>277.05143573891633</v>
      </c>
      <c r="E25" s="4">
        <v>268.89933466249028</v>
      </c>
      <c r="F25" s="4">
        <v>270.108154296875</v>
      </c>
      <c r="G25" s="6">
        <v>86167100</v>
      </c>
      <c r="H25" s="8">
        <f t="shared" si="0"/>
        <v>-3.7950967413134576E-3</v>
      </c>
      <c r="I25" s="8">
        <f t="shared" si="1"/>
        <v>1.0618151429486091</v>
      </c>
    </row>
    <row r="26" spans="1:9" x14ac:dyDescent="0.35">
      <c r="A26" t="s">
        <v>7</v>
      </c>
      <c r="B26" s="1">
        <v>45964</v>
      </c>
      <c r="C26" s="4">
        <v>270.15812755648938</v>
      </c>
      <c r="D26" s="4">
        <v>270.5877038096653</v>
      </c>
      <c r="E26" s="4">
        <v>265.99215254139239</v>
      </c>
      <c r="F26" s="4">
        <v>268.7894287109375</v>
      </c>
      <c r="G26" s="6">
        <v>50194600</v>
      </c>
      <c r="H26" s="8">
        <f t="shared" si="0"/>
        <v>-4.8822131615030512E-3</v>
      </c>
      <c r="I26" s="8">
        <f t="shared" si="1"/>
        <v>1.0566311350826221</v>
      </c>
    </row>
    <row r="27" spans="1:9" x14ac:dyDescent="0.35">
      <c r="A27" t="s">
        <v>7</v>
      </c>
      <c r="B27" s="1">
        <v>45965</v>
      </c>
      <c r="C27" s="4">
        <v>268.07010709602292</v>
      </c>
      <c r="D27" s="4">
        <v>271.22705027239562</v>
      </c>
      <c r="E27" s="4">
        <v>267.36080327265472</v>
      </c>
      <c r="F27" s="4">
        <v>269.77847290039063</v>
      </c>
      <c r="G27" s="6">
        <v>49274800</v>
      </c>
      <c r="H27" s="8">
        <f t="shared" si="0"/>
        <v>3.6796245826943084E-3</v>
      </c>
      <c r="I27" s="8">
        <f t="shared" si="1"/>
        <v>1.0605191409821122</v>
      </c>
    </row>
    <row r="28" spans="1:9" x14ac:dyDescent="0.35">
      <c r="A28" t="s">
        <v>7</v>
      </c>
      <c r="B28" s="1">
        <v>45966</v>
      </c>
      <c r="C28" s="4">
        <v>268.34983996837468</v>
      </c>
      <c r="D28" s="4">
        <v>271.43687417180428</v>
      </c>
      <c r="E28" s="4">
        <v>266.67147434431229</v>
      </c>
      <c r="F28" s="4">
        <v>269.87838745117188</v>
      </c>
      <c r="G28" s="6">
        <v>43683100</v>
      </c>
      <c r="H28" s="8">
        <f t="shared" si="0"/>
        <v>3.7035775948713706E-4</v>
      </c>
      <c r="I28" s="8">
        <f t="shared" si="1"/>
        <v>1.0609119124750594</v>
      </c>
    </row>
    <row r="29" spans="1:9" x14ac:dyDescent="0.35">
      <c r="A29" t="s">
        <v>7</v>
      </c>
      <c r="B29" s="1">
        <v>45967</v>
      </c>
      <c r="C29" s="4">
        <v>267.63057433889679</v>
      </c>
      <c r="D29" s="4">
        <v>273.13521740177993</v>
      </c>
      <c r="E29" s="4">
        <v>267.63057433889679</v>
      </c>
      <c r="F29" s="4">
        <v>269.50872802734381</v>
      </c>
      <c r="G29" s="6">
        <v>51204000</v>
      </c>
      <c r="H29" s="8">
        <f t="shared" si="0"/>
        <v>-1.3697259247739848E-3</v>
      </c>
      <c r="I29" s="8">
        <f t="shared" si="1"/>
        <v>1.0594587539246407</v>
      </c>
    </row>
    <row r="30" spans="1:9" x14ac:dyDescent="0.35">
      <c r="A30" t="s">
        <v>7</v>
      </c>
      <c r="B30" s="1">
        <v>45968</v>
      </c>
      <c r="C30" s="4">
        <v>269.5386899523433</v>
      </c>
      <c r="D30" s="4">
        <v>272.02629915101608</v>
      </c>
      <c r="E30" s="4">
        <v>266.51162568814641</v>
      </c>
      <c r="F30" s="4">
        <v>268.20999145507813</v>
      </c>
      <c r="G30" s="6">
        <v>48227400</v>
      </c>
      <c r="H30" s="8">
        <f t="shared" si="0"/>
        <v>-4.8189035723322279E-3</v>
      </c>
      <c r="I30" s="8">
        <f t="shared" si="1"/>
        <v>1.0543533243506145</v>
      </c>
    </row>
    <row r="31" spans="1:9" x14ac:dyDescent="0.35">
      <c r="A31" t="s">
        <v>7</v>
      </c>
      <c r="B31" s="1">
        <v>45971</v>
      </c>
      <c r="C31" s="4">
        <v>268.95999145507813</v>
      </c>
      <c r="D31" s="4">
        <v>273.73001098632813</v>
      </c>
      <c r="E31" s="4">
        <v>267.45999145507813</v>
      </c>
      <c r="F31" s="4">
        <v>269.42999267578119</v>
      </c>
      <c r="G31" s="6">
        <v>41312400</v>
      </c>
      <c r="H31" s="8">
        <f t="shared" si="0"/>
        <v>4.5486792422772338E-3</v>
      </c>
      <c r="I31" s="8">
        <f t="shared" si="1"/>
        <v>1.0591492394311142</v>
      </c>
    </row>
    <row r="32" spans="1:9" x14ac:dyDescent="0.35">
      <c r="A32" t="s">
        <v>7</v>
      </c>
      <c r="B32" s="1">
        <v>45972</v>
      </c>
      <c r="C32" s="4">
        <v>269.80999755859381</v>
      </c>
      <c r="D32" s="4">
        <v>275.91000366210938</v>
      </c>
      <c r="E32" s="4">
        <v>269.79998779296881</v>
      </c>
      <c r="F32" s="4">
        <v>275.25</v>
      </c>
      <c r="G32" s="6">
        <v>46208300</v>
      </c>
      <c r="H32" s="8">
        <f t="shared" si="0"/>
        <v>2.1601185771557056E-2</v>
      </c>
      <c r="I32" s="8">
        <f t="shared" si="1"/>
        <v>1.082028118911869</v>
      </c>
    </row>
    <row r="33" spans="1:9" x14ac:dyDescent="0.35">
      <c r="A33" t="s">
        <v>7</v>
      </c>
      <c r="B33" s="1">
        <v>45973</v>
      </c>
      <c r="C33" s="4">
        <v>275</v>
      </c>
      <c r="D33" s="4">
        <v>275.73001098632813</v>
      </c>
      <c r="E33" s="4">
        <v>271.70001220703119</v>
      </c>
      <c r="F33" s="4">
        <v>273.47000122070313</v>
      </c>
      <c r="G33" s="6">
        <v>48398000</v>
      </c>
      <c r="H33" s="8">
        <f t="shared" si="0"/>
        <v>-6.4668438848206177E-3</v>
      </c>
      <c r="I33" s="8">
        <f t="shared" si="1"/>
        <v>1.0750308119878798</v>
      </c>
    </row>
    <row r="34" spans="1:9" x14ac:dyDescent="0.35">
      <c r="A34" t="s">
        <v>7</v>
      </c>
      <c r="B34" s="1">
        <v>45974</v>
      </c>
      <c r="C34" s="4">
        <v>274.1099853515625</v>
      </c>
      <c r="D34" s="4">
        <v>276.70001220703119</v>
      </c>
      <c r="E34" s="4">
        <v>272.08999633789063</v>
      </c>
      <c r="F34" s="4">
        <v>272.95001220703119</v>
      </c>
      <c r="G34" s="6">
        <v>49602800</v>
      </c>
      <c r="H34" s="8">
        <f t="shared" si="0"/>
        <v>-1.9014480979662421E-3</v>
      </c>
      <c r="I34" s="8">
        <f t="shared" si="1"/>
        <v>1.0729866966951702</v>
      </c>
    </row>
    <row r="35" spans="1:9" x14ac:dyDescent="0.35">
      <c r="A35" t="s">
        <v>7</v>
      </c>
      <c r="B35" s="1">
        <v>45975</v>
      </c>
      <c r="C35" s="4">
        <v>271.04998779296881</v>
      </c>
      <c r="D35" s="4">
        <v>275.95999145507813</v>
      </c>
      <c r="E35" s="4">
        <v>269.60000610351563</v>
      </c>
      <c r="F35" s="4">
        <v>272.41000366210938</v>
      </c>
      <c r="G35" s="6">
        <v>47431300</v>
      </c>
      <c r="H35" s="8">
        <f t="shared" si="0"/>
        <v>-1.9784155368061476E-3</v>
      </c>
      <c r="I35" s="8">
        <f t="shared" si="1"/>
        <v>1.0708638831436423</v>
      </c>
    </row>
    <row r="36" spans="1:9" x14ac:dyDescent="0.35">
      <c r="A36" t="s">
        <v>7</v>
      </c>
      <c r="B36" s="1">
        <v>45978</v>
      </c>
      <c r="C36" s="4">
        <v>268.82000732421881</v>
      </c>
      <c r="D36" s="4">
        <v>270.489990234375</v>
      </c>
      <c r="E36" s="4">
        <v>265.73001098632813</v>
      </c>
      <c r="F36" s="4">
        <v>267.45999145507813</v>
      </c>
      <c r="G36" s="6">
        <v>45018300</v>
      </c>
      <c r="H36" s="8">
        <f t="shared" si="0"/>
        <v>-1.817118365877313E-2</v>
      </c>
      <c r="I36" s="8">
        <f t="shared" si="1"/>
        <v>1.0514050188494923</v>
      </c>
    </row>
    <row r="37" spans="1:9" x14ac:dyDescent="0.35">
      <c r="A37" t="s">
        <v>7</v>
      </c>
      <c r="B37" s="1">
        <v>45979</v>
      </c>
      <c r="C37" s="4">
        <v>269.989990234375</v>
      </c>
      <c r="D37" s="4">
        <v>270.70999145507813</v>
      </c>
      <c r="E37" s="4">
        <v>265.32000732421881</v>
      </c>
      <c r="F37" s="4">
        <v>267.44000244140619</v>
      </c>
      <c r="G37" s="6">
        <v>45677300</v>
      </c>
      <c r="H37" s="8">
        <f t="shared" si="0"/>
        <v>-7.4736462688062056E-5</v>
      </c>
      <c r="I37" s="8">
        <f t="shared" si="1"/>
        <v>1.0513264405575311</v>
      </c>
    </row>
    <row r="38" spans="1:9" x14ac:dyDescent="0.35">
      <c r="A38" t="s">
        <v>7</v>
      </c>
      <c r="B38" s="1">
        <v>45980</v>
      </c>
      <c r="C38" s="4">
        <v>265.52999877929688</v>
      </c>
      <c r="D38" s="4">
        <v>272.20999145507813</v>
      </c>
      <c r="E38" s="4">
        <v>265.5</v>
      </c>
      <c r="F38" s="4">
        <v>268.55999755859381</v>
      </c>
      <c r="G38" s="6">
        <v>40424500</v>
      </c>
      <c r="H38" s="8">
        <f t="shared" si="0"/>
        <v>4.1878369240330639E-3</v>
      </c>
      <c r="I38" s="8">
        <f t="shared" si="1"/>
        <v>1.0557292242445102</v>
      </c>
    </row>
    <row r="39" spans="1:9" x14ac:dyDescent="0.35">
      <c r="A39" t="s">
        <v>7</v>
      </c>
      <c r="B39" s="1">
        <v>45981</v>
      </c>
      <c r="C39" s="4">
        <v>270.82998657226563</v>
      </c>
      <c r="D39" s="4">
        <v>275.42999267578119</v>
      </c>
      <c r="E39" s="4">
        <v>265.92001342773438</v>
      </c>
      <c r="F39" s="4">
        <v>266.25</v>
      </c>
      <c r="G39" s="6">
        <v>45823600</v>
      </c>
      <c r="H39" s="8">
        <f t="shared" si="0"/>
        <v>-8.6014208355427793E-3</v>
      </c>
      <c r="I39" s="8">
        <f t="shared" si="1"/>
        <v>1.0466484528984019</v>
      </c>
    </row>
    <row r="40" spans="1:9" x14ac:dyDescent="0.35">
      <c r="A40" t="s">
        <v>7</v>
      </c>
      <c r="B40" s="1">
        <v>45982</v>
      </c>
      <c r="C40" s="4">
        <v>265.95001220703119</v>
      </c>
      <c r="D40" s="4">
        <v>273.32998657226563</v>
      </c>
      <c r="E40" s="4">
        <v>265.67001342773438</v>
      </c>
      <c r="F40" s="4">
        <v>271.489990234375</v>
      </c>
      <c r="G40" s="6">
        <v>59030800</v>
      </c>
      <c r="H40" s="8">
        <f t="shared" si="0"/>
        <v>1.9680714495305163E-2</v>
      </c>
      <c r="I40" s="8">
        <f t="shared" si="1"/>
        <v>1.0672472422768482</v>
      </c>
    </row>
    <row r="41" spans="1:9" x14ac:dyDescent="0.35">
      <c r="A41" t="s">
        <v>7</v>
      </c>
      <c r="B41" s="1">
        <v>45985</v>
      </c>
      <c r="C41" s="4">
        <v>270.89999389648438</v>
      </c>
      <c r="D41" s="4">
        <v>277</v>
      </c>
      <c r="E41" s="4">
        <v>270.89999389648438</v>
      </c>
      <c r="F41" s="4">
        <v>275.92001342773438</v>
      </c>
      <c r="G41" s="6">
        <v>65585800</v>
      </c>
      <c r="H41" s="8">
        <f t="shared" si="0"/>
        <v>1.6317445772254711E-2</v>
      </c>
      <c r="I41" s="8">
        <f t="shared" si="1"/>
        <v>1.0846619912782891</v>
      </c>
    </row>
    <row r="42" spans="1:9" x14ac:dyDescent="0.35">
      <c r="A42" t="s">
        <v>7</v>
      </c>
      <c r="B42" s="1">
        <v>45986</v>
      </c>
      <c r="C42" s="4">
        <v>275.26998901367188</v>
      </c>
      <c r="D42" s="4">
        <v>280.3800048828125</v>
      </c>
      <c r="E42" s="4">
        <v>275.25</v>
      </c>
      <c r="F42" s="4">
        <v>276.97000122070313</v>
      </c>
      <c r="G42" s="6">
        <v>46914200</v>
      </c>
      <c r="H42" s="8">
        <f t="shared" si="0"/>
        <v>3.8054064289314415E-3</v>
      </c>
      <c r="I42" s="8">
        <f t="shared" si="1"/>
        <v>1.088789570993117</v>
      </c>
    </row>
    <row r="43" spans="1:9" x14ac:dyDescent="0.35">
      <c r="A43" t="s">
        <v>7</v>
      </c>
      <c r="B43" s="1">
        <v>45987</v>
      </c>
      <c r="C43" s="4">
        <v>276.95999145507813</v>
      </c>
      <c r="D43" s="4">
        <v>279.52999877929688</v>
      </c>
      <c r="E43" s="4">
        <v>276.6300048828125</v>
      </c>
      <c r="F43" s="4">
        <v>277.54998779296881</v>
      </c>
      <c r="G43" s="6">
        <v>33431400</v>
      </c>
      <c r="H43" s="8">
        <f t="shared" si="0"/>
        <v>2.0940411225384673E-3</v>
      </c>
      <c r="I43" s="8">
        <f t="shared" si="1"/>
        <v>1.0910695411285676</v>
      </c>
    </row>
    <row r="44" spans="1:9" x14ac:dyDescent="0.35">
      <c r="A44" t="s">
        <v>7</v>
      </c>
      <c r="B44" s="1">
        <v>45989</v>
      </c>
      <c r="C44" s="4">
        <v>277.260009765625</v>
      </c>
      <c r="D44" s="4">
        <v>279</v>
      </c>
      <c r="E44" s="4">
        <v>275.989990234375</v>
      </c>
      <c r="F44" s="4">
        <v>278.85000610351563</v>
      </c>
      <c r="G44" s="6">
        <v>20135600</v>
      </c>
      <c r="H44" s="8">
        <f t="shared" si="0"/>
        <v>4.6839069274848353E-3</v>
      </c>
      <c r="I44" s="8">
        <f t="shared" si="1"/>
        <v>1.0961800093106275</v>
      </c>
    </row>
    <row r="45" spans="1:9" x14ac:dyDescent="0.35">
      <c r="A45" t="s">
        <v>7</v>
      </c>
      <c r="B45" s="1">
        <v>45992</v>
      </c>
      <c r="C45" s="4">
        <v>278.010009765625</v>
      </c>
      <c r="D45" s="4">
        <v>283.42001342773438</v>
      </c>
      <c r="E45" s="4">
        <v>276.1400146484375</v>
      </c>
      <c r="F45" s="4">
        <v>283.10000610351563</v>
      </c>
      <c r="G45" s="6">
        <v>46587700</v>
      </c>
      <c r="H45" s="8">
        <f t="shared" si="0"/>
        <v>1.5241168753721673E-2</v>
      </c>
      <c r="I45" s="8">
        <f t="shared" si="1"/>
        <v>1.1128870738169871</v>
      </c>
    </row>
    <row r="46" spans="1:9" x14ac:dyDescent="0.35">
      <c r="A46" t="s">
        <v>7</v>
      </c>
      <c r="B46" s="1">
        <v>45993</v>
      </c>
      <c r="C46" s="4">
        <v>283</v>
      </c>
      <c r="D46" s="4">
        <v>287.39999389648438</v>
      </c>
      <c r="E46" s="4">
        <v>282.6300048828125</v>
      </c>
      <c r="F46" s="4">
        <v>286.19000244140619</v>
      </c>
      <c r="G46" s="6">
        <v>53669500</v>
      </c>
      <c r="H46" s="8">
        <f t="shared" si="0"/>
        <v>1.0914857899228409E-2</v>
      </c>
      <c r="I46" s="8">
        <f t="shared" si="1"/>
        <v>1.1250340780855876</v>
      </c>
    </row>
    <row r="47" spans="1:9" x14ac:dyDescent="0.35">
      <c r="A47" t="s">
        <v>7</v>
      </c>
      <c r="B47" s="1">
        <v>45994</v>
      </c>
      <c r="C47" s="4">
        <v>286.20001220703119</v>
      </c>
      <c r="D47" s="4">
        <v>288.6199951171875</v>
      </c>
      <c r="E47" s="4">
        <v>283.29998779296881</v>
      </c>
      <c r="F47" s="4">
        <v>284.14999389648438</v>
      </c>
      <c r="G47" s="6">
        <v>43538700</v>
      </c>
      <c r="H47" s="8">
        <f t="shared" si="0"/>
        <v>-7.1281614574900615E-3</v>
      </c>
      <c r="I47" s="8">
        <f t="shared" si="1"/>
        <v>1.1170146535318151</v>
      </c>
    </row>
    <row r="48" spans="1:9" x14ac:dyDescent="0.35">
      <c r="A48" t="s">
        <v>7</v>
      </c>
      <c r="B48" s="1">
        <v>45995</v>
      </c>
      <c r="C48" s="4">
        <v>284.10000610351563</v>
      </c>
      <c r="D48" s="4">
        <v>284.73001098632813</v>
      </c>
      <c r="E48" s="4">
        <v>278.58999633789063</v>
      </c>
      <c r="F48" s="4">
        <v>280.70001220703119</v>
      </c>
      <c r="G48" s="6">
        <v>43989100</v>
      </c>
      <c r="H48" s="8">
        <f t="shared" si="0"/>
        <v>-1.2141410394363786E-2</v>
      </c>
      <c r="I48" s="8">
        <f t="shared" si="1"/>
        <v>1.1034525202067673</v>
      </c>
    </row>
    <row r="49" spans="1:9" x14ac:dyDescent="0.35">
      <c r="A49" t="s">
        <v>7</v>
      </c>
      <c r="B49" s="1">
        <v>45996</v>
      </c>
      <c r="C49" s="4">
        <v>280.54000854492188</v>
      </c>
      <c r="D49" s="4">
        <v>281.1400146484375</v>
      </c>
      <c r="E49" s="4">
        <v>278.04998779296881</v>
      </c>
      <c r="F49" s="4">
        <v>278.77999877929688</v>
      </c>
      <c r="G49" s="6">
        <v>47265800</v>
      </c>
      <c r="H49" s="8">
        <f t="shared" si="0"/>
        <v>-6.8400902894090584E-3</v>
      </c>
      <c r="I49" s="8">
        <f t="shared" si="1"/>
        <v>1.095904805338477</v>
      </c>
    </row>
    <row r="50" spans="1:9" x14ac:dyDescent="0.35">
      <c r="A50" t="s">
        <v>7</v>
      </c>
      <c r="B50" s="1">
        <v>45999</v>
      </c>
      <c r="C50" s="4">
        <v>278.1300048828125</v>
      </c>
      <c r="D50" s="4">
        <v>279.67001342773438</v>
      </c>
      <c r="E50" s="4">
        <v>276.14999389648438</v>
      </c>
      <c r="F50" s="4">
        <v>277.8900146484375</v>
      </c>
      <c r="G50" s="6">
        <v>38211800</v>
      </c>
      <c r="H50" s="8">
        <f t="shared" si="0"/>
        <v>-3.1924246171044471E-3</v>
      </c>
      <c r="I50" s="8">
        <f t="shared" si="1"/>
        <v>1.0924062118599114</v>
      </c>
    </row>
    <row r="51" spans="1:9" x14ac:dyDescent="0.35">
      <c r="A51" t="s">
        <v>7</v>
      </c>
      <c r="B51" s="1">
        <v>46000</v>
      </c>
      <c r="C51" s="4">
        <v>278.16000366210938</v>
      </c>
      <c r="D51" s="4">
        <v>280.02999877929688</v>
      </c>
      <c r="E51" s="4">
        <v>276.92001342773438</v>
      </c>
      <c r="F51" s="4">
        <v>277.17999267578119</v>
      </c>
      <c r="G51" s="6">
        <v>32193300</v>
      </c>
      <c r="H51" s="8">
        <f t="shared" si="0"/>
        <v>-2.5550467279458222E-3</v>
      </c>
      <c r="I51" s="8">
        <f t="shared" si="1"/>
        <v>1.089615062942711</v>
      </c>
    </row>
    <row r="52" spans="1:9" x14ac:dyDescent="0.35">
      <c r="A52" t="s">
        <v>7</v>
      </c>
      <c r="B52" s="1">
        <v>46001</v>
      </c>
      <c r="C52" s="4">
        <v>277.75</v>
      </c>
      <c r="D52" s="4">
        <v>279.75</v>
      </c>
      <c r="E52" s="4">
        <v>276.44000244140619</v>
      </c>
      <c r="F52" s="4">
        <v>278.77999877929688</v>
      </c>
      <c r="G52" s="6">
        <v>33038300</v>
      </c>
      <c r="H52" s="8">
        <f t="shared" si="0"/>
        <v>5.7724444252627459E-3</v>
      </c>
      <c r="I52" s="8">
        <f t="shared" si="1"/>
        <v>1.095904805338477</v>
      </c>
    </row>
    <row r="53" spans="1:9" x14ac:dyDescent="0.35">
      <c r="A53" t="s">
        <v>7</v>
      </c>
      <c r="B53" s="1">
        <v>46002</v>
      </c>
      <c r="C53" s="4">
        <v>279.10000610351563</v>
      </c>
      <c r="D53" s="4">
        <v>279.58999633789063</v>
      </c>
      <c r="E53" s="4">
        <v>273.80999755859381</v>
      </c>
      <c r="F53" s="4">
        <v>278.02999877929688</v>
      </c>
      <c r="G53" s="6">
        <v>33248000</v>
      </c>
      <c r="H53" s="8">
        <f t="shared" si="0"/>
        <v>-2.6902934331158963E-3</v>
      </c>
      <c r="I53" s="8">
        <f t="shared" si="1"/>
        <v>1.0929564998373547</v>
      </c>
    </row>
    <row r="54" spans="1:9" x14ac:dyDescent="0.35">
      <c r="A54" t="s">
        <v>7</v>
      </c>
      <c r="B54" s="1">
        <v>46003</v>
      </c>
      <c r="C54" s="4">
        <v>277.89999389648438</v>
      </c>
      <c r="D54" s="4">
        <v>279.22000122070313</v>
      </c>
      <c r="E54" s="4">
        <v>276.82000732421881</v>
      </c>
      <c r="F54" s="4">
        <v>278.27999877929688</v>
      </c>
      <c r="G54" s="6">
        <v>39532900</v>
      </c>
      <c r="H54" s="8">
        <f t="shared" si="0"/>
        <v>8.9918354529236477E-4</v>
      </c>
      <c r="I54" s="8">
        <f t="shared" si="1"/>
        <v>1.0939392683377287</v>
      </c>
    </row>
    <row r="55" spans="1:9" x14ac:dyDescent="0.35">
      <c r="A55" t="s">
        <v>7</v>
      </c>
      <c r="B55" s="1">
        <v>46006</v>
      </c>
      <c r="C55" s="4">
        <v>280.14999389648438</v>
      </c>
      <c r="D55" s="4">
        <v>280.14999389648438</v>
      </c>
      <c r="E55" s="4">
        <v>272.83999633789063</v>
      </c>
      <c r="F55" s="4">
        <v>274.1099853515625</v>
      </c>
      <c r="G55" s="6">
        <v>50409100</v>
      </c>
      <c r="H55" s="8">
        <f t="shared" si="0"/>
        <v>-1.498495560596003E-2</v>
      </c>
      <c r="I55" s="8">
        <f t="shared" si="1"/>
        <v>1.0775466369660713</v>
      </c>
    </row>
    <row r="56" spans="1:9" x14ac:dyDescent="0.35">
      <c r="A56" t="s">
        <v>7</v>
      </c>
      <c r="B56" s="1">
        <v>46007</v>
      </c>
      <c r="C56" s="4">
        <v>272.82000732421881</v>
      </c>
      <c r="D56" s="4">
        <v>275.5</v>
      </c>
      <c r="E56" s="4">
        <v>271.79000854492188</v>
      </c>
      <c r="F56" s="4">
        <v>274.6099853515625</v>
      </c>
      <c r="G56" s="6">
        <v>37648600</v>
      </c>
      <c r="H56" s="8">
        <f t="shared" si="0"/>
        <v>1.8240853187406509E-3</v>
      </c>
      <c r="I56" s="8">
        <f t="shared" si="1"/>
        <v>1.0795121739668194</v>
      </c>
    </row>
    <row r="57" spans="1:9" x14ac:dyDescent="0.35">
      <c r="A57" t="s">
        <v>7</v>
      </c>
      <c r="B57" s="1">
        <v>46008</v>
      </c>
      <c r="C57" s="4">
        <v>275.010009765625</v>
      </c>
      <c r="D57" s="4">
        <v>276.16000366210938</v>
      </c>
      <c r="E57" s="4">
        <v>271.6400146484375</v>
      </c>
      <c r="F57" s="4">
        <v>271.83999633789063</v>
      </c>
      <c r="G57" s="6">
        <v>50138700</v>
      </c>
      <c r="H57" s="8">
        <f t="shared" si="0"/>
        <v>-1.0086993049890981E-2</v>
      </c>
      <c r="I57" s="8">
        <f t="shared" si="1"/>
        <v>1.0686231421707433</v>
      </c>
    </row>
    <row r="58" spans="1:9" x14ac:dyDescent="0.35">
      <c r="A58" t="s">
        <v>7</v>
      </c>
      <c r="B58" s="1">
        <v>46009</v>
      </c>
      <c r="C58" s="4">
        <v>273.6099853515625</v>
      </c>
      <c r="D58" s="4">
        <v>273.6300048828125</v>
      </c>
      <c r="E58" s="4">
        <v>266.95001220703119</v>
      </c>
      <c r="F58" s="4">
        <v>272.19000244140619</v>
      </c>
      <c r="G58" s="6">
        <v>51630700</v>
      </c>
      <c r="H58" s="8">
        <f t="shared" si="0"/>
        <v>1.2875445417550658E-3</v>
      </c>
      <c r="I58" s="8">
        <f t="shared" si="1"/>
        <v>1.0699990420646384</v>
      </c>
    </row>
    <row r="59" spans="1:9" x14ac:dyDescent="0.35">
      <c r="A59" t="s">
        <v>7</v>
      </c>
      <c r="B59" s="1">
        <v>46010</v>
      </c>
      <c r="C59" s="4">
        <v>272.14999389648438</v>
      </c>
      <c r="D59" s="4">
        <v>274.60000610351563</v>
      </c>
      <c r="E59" s="4">
        <v>269.89999389648438</v>
      </c>
      <c r="F59" s="4">
        <v>273.67001342773438</v>
      </c>
      <c r="G59" s="6">
        <v>144632000</v>
      </c>
      <c r="H59" s="8">
        <f t="shared" si="0"/>
        <v>5.4374186158684537E-3</v>
      </c>
      <c r="I59" s="8">
        <f t="shared" si="1"/>
        <v>1.0758170747749221</v>
      </c>
    </row>
    <row r="60" spans="1:9" x14ac:dyDescent="0.35">
      <c r="A60" t="s">
        <v>7</v>
      </c>
      <c r="B60" s="1">
        <v>46013</v>
      </c>
      <c r="C60" s="4">
        <v>272.8599853515625</v>
      </c>
      <c r="D60" s="4">
        <v>273.8800048828125</v>
      </c>
      <c r="E60" s="4">
        <v>270.510009765625</v>
      </c>
      <c r="F60" s="4">
        <v>270.97000122070313</v>
      </c>
      <c r="G60" s="6">
        <v>36571800</v>
      </c>
      <c r="H60" s="8">
        <f t="shared" si="0"/>
        <v>-9.865941003961029E-3</v>
      </c>
      <c r="I60" s="8">
        <f t="shared" si="1"/>
        <v>1.0652031269841389</v>
      </c>
    </row>
    <row r="61" spans="1:9" x14ac:dyDescent="0.35">
      <c r="A61" t="s">
        <v>7</v>
      </c>
      <c r="B61" s="1">
        <v>46014</v>
      </c>
      <c r="C61" s="4">
        <v>270.83999633789063</v>
      </c>
      <c r="D61" s="4">
        <v>272.5</v>
      </c>
      <c r="E61" s="4">
        <v>269.55999755859381</v>
      </c>
      <c r="F61" s="4">
        <v>272.3599853515625</v>
      </c>
      <c r="G61" s="6">
        <v>29642000</v>
      </c>
      <c r="H61" s="8">
        <f t="shared" si="0"/>
        <v>5.1296605697958532E-3</v>
      </c>
      <c r="I61" s="8">
        <f t="shared" si="1"/>
        <v>1.0706672574634528</v>
      </c>
    </row>
    <row r="62" spans="1:9" x14ac:dyDescent="0.35">
      <c r="A62" t="s">
        <v>7</v>
      </c>
      <c r="B62" s="1">
        <v>46015</v>
      </c>
      <c r="C62" s="4">
        <v>272.33999633789063</v>
      </c>
      <c r="D62" s="4">
        <v>275.42999267578119</v>
      </c>
      <c r="E62" s="4">
        <v>272.20001220703119</v>
      </c>
      <c r="F62" s="4">
        <v>273.80999755859381</v>
      </c>
      <c r="G62" s="6">
        <v>17910600</v>
      </c>
      <c r="H62" s="8">
        <f t="shared" si="0"/>
        <v>5.3238812050882944E-3</v>
      </c>
      <c r="I62" s="8">
        <f t="shared" si="1"/>
        <v>1.0763673627523658</v>
      </c>
    </row>
    <row r="63" spans="1:9" x14ac:dyDescent="0.35">
      <c r="A63" t="s">
        <v>7</v>
      </c>
      <c r="B63" s="1">
        <v>46017</v>
      </c>
      <c r="C63" s="4">
        <v>274.16000366210938</v>
      </c>
      <c r="D63" s="4">
        <v>275.3699951171875</v>
      </c>
      <c r="E63" s="4">
        <v>272.8599853515625</v>
      </c>
      <c r="F63" s="4">
        <v>273.39999389648438</v>
      </c>
      <c r="G63" s="6">
        <v>21521800</v>
      </c>
      <c r="H63" s="8">
        <f t="shared" si="0"/>
        <v>-1.497402088182311E-3</v>
      </c>
      <c r="I63" s="8">
        <f t="shared" si="1"/>
        <v>1.0747556080157292</v>
      </c>
    </row>
    <row r="64" spans="1:9" x14ac:dyDescent="0.35">
      <c r="A64" t="s">
        <v>7</v>
      </c>
      <c r="B64" s="1">
        <v>46020</v>
      </c>
      <c r="C64" s="4">
        <v>272.69000244140619</v>
      </c>
      <c r="D64" s="4">
        <v>274.3599853515625</v>
      </c>
      <c r="E64" s="4">
        <v>272.35000610351563</v>
      </c>
      <c r="F64" s="4">
        <v>273.760009765625</v>
      </c>
      <c r="G64" s="6">
        <v>23700400</v>
      </c>
      <c r="H64" s="8">
        <f t="shared" si="0"/>
        <v>1.3168100847761374E-3</v>
      </c>
      <c r="I64" s="8">
        <f t="shared" si="1"/>
        <v>1.0761708570390343</v>
      </c>
    </row>
    <row r="65" spans="1:9" x14ac:dyDescent="0.35">
      <c r="A65" t="s">
        <v>9</v>
      </c>
      <c r="B65" s="1">
        <v>45930</v>
      </c>
      <c r="C65" s="4">
        <v>242.90151883167661</v>
      </c>
      <c r="D65" s="4">
        <v>243.51612333212859</v>
      </c>
      <c r="E65" s="4">
        <v>239.4147952973542</v>
      </c>
      <c r="F65" s="4">
        <v>243.3912048339844</v>
      </c>
      <c r="G65" s="6">
        <v>22541200</v>
      </c>
      <c r="H65" s="8" t="str">
        <f t="shared" si="0"/>
        <v/>
      </c>
      <c r="I65" s="8">
        <v>1</v>
      </c>
    </row>
    <row r="66" spans="1:9" x14ac:dyDescent="0.35">
      <c r="A66" t="s">
        <v>9</v>
      </c>
      <c r="B66" s="1">
        <v>45931</v>
      </c>
      <c r="C66" s="4">
        <v>241.0227402370779</v>
      </c>
      <c r="D66" s="4">
        <v>246.9888489406589</v>
      </c>
      <c r="E66" s="4">
        <v>239.04403549206739</v>
      </c>
      <c r="F66" s="4">
        <v>245.37989807128909</v>
      </c>
      <c r="G66" s="6">
        <v>23967700</v>
      </c>
      <c r="H66" s="8">
        <f t="shared" ref="H66:H129" si="2">IF(A66=A65,(F66-F65)/F65,"")</f>
        <v>8.1707686958580224E-3</v>
      </c>
      <c r="I66" s="8">
        <f t="shared" si="1"/>
        <v>1.0081707686958581</v>
      </c>
    </row>
    <row r="67" spans="1:9" x14ac:dyDescent="0.35">
      <c r="A67" t="s">
        <v>9</v>
      </c>
      <c r="B67" s="1">
        <v>45932</v>
      </c>
      <c r="C67" s="4">
        <v>245.4798394250779</v>
      </c>
      <c r="D67" s="4">
        <v>247.47353378364269</v>
      </c>
      <c r="E67" s="4">
        <v>242.9464886130651</v>
      </c>
      <c r="F67" s="4">
        <v>246.2693176269531</v>
      </c>
      <c r="G67" s="6">
        <v>20657500</v>
      </c>
      <c r="H67" s="8">
        <f t="shared" si="2"/>
        <v>3.6246634816255677E-3</v>
      </c>
      <c r="I67" s="8">
        <f t="shared" si="1"/>
        <v>1.0118250484643923</v>
      </c>
    </row>
    <row r="68" spans="1:9" x14ac:dyDescent="0.35">
      <c r="A68" t="s">
        <v>9</v>
      </c>
      <c r="B68" s="1">
        <v>45933</v>
      </c>
      <c r="C68" s="4">
        <v>245.07010088502179</v>
      </c>
      <c r="D68" s="4">
        <v>246.95687035937331</v>
      </c>
      <c r="E68" s="4">
        <v>242.31190594958699</v>
      </c>
      <c r="F68" s="4">
        <v>246.289306640625</v>
      </c>
      <c r="G68" s="6">
        <v>19941400</v>
      </c>
      <c r="H68" s="8">
        <f t="shared" si="2"/>
        <v>8.1167292233223423E-5</v>
      </c>
      <c r="I68" s="8">
        <f t="shared" ref="I68:I131" si="3">I67*(1+H68)</f>
        <v>1.0119071755637898</v>
      </c>
    </row>
    <row r="69" spans="1:9" x14ac:dyDescent="0.35">
      <c r="A69" t="s">
        <v>9</v>
      </c>
      <c r="B69" s="1">
        <v>45936</v>
      </c>
      <c r="C69" s="4">
        <v>245.61974856895051</v>
      </c>
      <c r="D69" s="4">
        <v>252.03556085596031</v>
      </c>
      <c r="E69" s="4">
        <v>245.52981090927679</v>
      </c>
      <c r="F69" s="4">
        <v>251.34600830078119</v>
      </c>
      <c r="G69" s="6">
        <v>18309000</v>
      </c>
      <c r="H69" s="8">
        <f t="shared" si="2"/>
        <v>2.0531551812497974E-2</v>
      </c>
      <c r="I69" s="8">
        <f t="shared" si="3"/>
        <v>1.0326832001683164</v>
      </c>
    </row>
    <row r="70" spans="1:9" x14ac:dyDescent="0.35">
      <c r="A70" t="s">
        <v>9</v>
      </c>
      <c r="B70" s="1">
        <v>45937</v>
      </c>
      <c r="C70" s="4">
        <v>248.76768624174679</v>
      </c>
      <c r="D70" s="4">
        <v>251.38598832802839</v>
      </c>
      <c r="E70" s="4">
        <v>246.64907339611261</v>
      </c>
      <c r="F70" s="4">
        <v>246.9688720703125</v>
      </c>
      <c r="G70" s="6">
        <v>13811200</v>
      </c>
      <c r="H70" s="8">
        <f t="shared" si="2"/>
        <v>-1.7414783151163689E-2</v>
      </c>
      <c r="I70" s="8">
        <f t="shared" si="3"/>
        <v>1.0146992461735354</v>
      </c>
    </row>
    <row r="71" spans="1:9" x14ac:dyDescent="0.35">
      <c r="A71" t="s">
        <v>9</v>
      </c>
      <c r="B71" s="1">
        <v>45938</v>
      </c>
      <c r="C71" s="4">
        <v>246.03946500745059</v>
      </c>
      <c r="D71" s="4">
        <v>247.0987714065503</v>
      </c>
      <c r="E71" s="4">
        <v>244.93018816052091</v>
      </c>
      <c r="F71" s="4">
        <v>245.2999572753906</v>
      </c>
      <c r="G71" s="6">
        <v>14136500</v>
      </c>
      <c r="H71" s="8">
        <f t="shared" si="2"/>
        <v>-6.7575916791925107E-3</v>
      </c>
      <c r="I71" s="8">
        <f t="shared" si="3"/>
        <v>1.0078423229907101</v>
      </c>
    </row>
    <row r="72" spans="1:9" x14ac:dyDescent="0.35">
      <c r="A72" t="s">
        <v>9</v>
      </c>
      <c r="B72" s="1">
        <v>45939</v>
      </c>
      <c r="C72" s="4">
        <v>244.90021080901741</v>
      </c>
      <c r="D72" s="4">
        <v>245.39488317397439</v>
      </c>
      <c r="E72" s="4">
        <v>239.52371385692189</v>
      </c>
      <c r="F72" s="4">
        <v>242.05207824707031</v>
      </c>
      <c r="G72" s="6">
        <v>19375700</v>
      </c>
      <c r="H72" s="8">
        <f t="shared" si="2"/>
        <v>-1.3240438622147788E-2</v>
      </c>
      <c r="I72" s="8">
        <f t="shared" si="3"/>
        <v>0.9944980485723488</v>
      </c>
    </row>
    <row r="73" spans="1:9" x14ac:dyDescent="0.35">
      <c r="A73" t="s">
        <v>9</v>
      </c>
      <c r="B73" s="1">
        <v>45940</v>
      </c>
      <c r="C73" s="4">
        <v>242.00211257865041</v>
      </c>
      <c r="D73" s="4">
        <v>244.68035786865011</v>
      </c>
      <c r="E73" s="4">
        <v>236.5306762415394</v>
      </c>
      <c r="F73" s="4">
        <v>237.33515930175781</v>
      </c>
      <c r="G73" s="6">
        <v>22449100</v>
      </c>
      <c r="H73" s="8">
        <f t="shared" si="2"/>
        <v>-1.9487206965840588E-2</v>
      </c>
      <c r="I73" s="8">
        <f t="shared" si="3"/>
        <v>0.97511805927269479</v>
      </c>
    </row>
    <row r="74" spans="1:9" x14ac:dyDescent="0.35">
      <c r="A74" t="s">
        <v>9</v>
      </c>
      <c r="B74" s="1">
        <v>45943</v>
      </c>
      <c r="C74" s="4">
        <v>240.8728372678934</v>
      </c>
      <c r="D74" s="4">
        <v>244.83026189387331</v>
      </c>
      <c r="E74" s="4">
        <v>240.59302105936189</v>
      </c>
      <c r="F74" s="4">
        <v>244.48048400878909</v>
      </c>
      <c r="G74" s="6">
        <v>12465000</v>
      </c>
      <c r="H74" s="8">
        <f t="shared" si="2"/>
        <v>3.0106473596465389E-2</v>
      </c>
      <c r="I74" s="8">
        <f t="shared" si="3"/>
        <v>1.0044754253776247</v>
      </c>
    </row>
    <row r="75" spans="1:9" x14ac:dyDescent="0.35">
      <c r="A75" t="s">
        <v>9</v>
      </c>
      <c r="B75" s="1">
        <v>45944</v>
      </c>
      <c r="C75" s="4">
        <v>241.59737415880701</v>
      </c>
      <c r="D75" s="4">
        <v>247.86327497207861</v>
      </c>
      <c r="E75" s="4">
        <v>241.0207392770717</v>
      </c>
      <c r="F75" s="4">
        <v>246.02947998046881</v>
      </c>
      <c r="G75" s="6">
        <v>17705400</v>
      </c>
      <c r="H75" s="8">
        <f t="shared" si="2"/>
        <v>6.3358675763421236E-3</v>
      </c>
      <c r="I75" s="8">
        <f t="shared" si="3"/>
        <v>1.0108396486565072</v>
      </c>
    </row>
    <row r="76" spans="1:9" x14ac:dyDescent="0.35">
      <c r="A76" t="s">
        <v>9</v>
      </c>
      <c r="B76" s="1">
        <v>45945</v>
      </c>
      <c r="C76" s="4">
        <v>247.92324680271901</v>
      </c>
      <c r="D76" s="4">
        <v>252.59518634371949</v>
      </c>
      <c r="E76" s="4">
        <v>246.62907776804079</v>
      </c>
      <c r="F76" s="4">
        <v>251.54588317871091</v>
      </c>
      <c r="G76" s="6">
        <v>16048100</v>
      </c>
      <c r="H76" s="8">
        <f t="shared" si="2"/>
        <v>2.2421716286519913E-2</v>
      </c>
      <c r="I76" s="8">
        <f t="shared" si="3"/>
        <v>1.0335044084698488</v>
      </c>
    </row>
    <row r="77" spans="1:9" x14ac:dyDescent="0.35">
      <c r="A77" t="s">
        <v>9</v>
      </c>
      <c r="B77" s="1">
        <v>45946</v>
      </c>
      <c r="C77" s="4">
        <v>252.30038456613701</v>
      </c>
      <c r="D77" s="4">
        <v>257.41203973380101</v>
      </c>
      <c r="E77" s="4">
        <v>250.50655676866171</v>
      </c>
      <c r="F77" s="4">
        <v>251.71577453613281</v>
      </c>
      <c r="G77" s="6">
        <v>18946000</v>
      </c>
      <c r="H77" s="8">
        <f t="shared" si="2"/>
        <v>6.7538913885227059E-4</v>
      </c>
      <c r="I77" s="8">
        <f t="shared" si="3"/>
        <v>1.0342024261222853</v>
      </c>
    </row>
    <row r="78" spans="1:9" x14ac:dyDescent="0.35">
      <c r="A78" t="s">
        <v>9</v>
      </c>
      <c r="B78" s="1">
        <v>45947</v>
      </c>
      <c r="C78" s="4">
        <v>251.18611550864571</v>
      </c>
      <c r="D78" s="4">
        <v>254.71381258280721</v>
      </c>
      <c r="E78" s="4">
        <v>248.4279053834876</v>
      </c>
      <c r="F78" s="4">
        <v>253.62451171875</v>
      </c>
      <c r="G78" s="6">
        <v>17653800</v>
      </c>
      <c r="H78" s="8">
        <f t="shared" si="2"/>
        <v>7.582906498945682E-3</v>
      </c>
      <c r="I78" s="8">
        <f t="shared" si="3"/>
        <v>1.0420446864205533</v>
      </c>
    </row>
    <row r="79" spans="1:9" x14ac:dyDescent="0.35">
      <c r="A79" t="s">
        <v>9</v>
      </c>
      <c r="B79" s="1">
        <v>45950</v>
      </c>
      <c r="C79" s="4">
        <v>255.0635907467761</v>
      </c>
      <c r="D79" s="4">
        <v>257.71187214774989</v>
      </c>
      <c r="E79" s="4">
        <v>254.43401186370409</v>
      </c>
      <c r="F79" s="4">
        <v>256.8524169921875</v>
      </c>
      <c r="G79" s="6">
        <v>13726800</v>
      </c>
      <c r="H79" s="8">
        <f t="shared" si="2"/>
        <v>1.2727102958475078E-2</v>
      </c>
      <c r="I79" s="8">
        <f t="shared" si="3"/>
        <v>1.0553068964319594</v>
      </c>
    </row>
    <row r="80" spans="1:9" x14ac:dyDescent="0.35">
      <c r="A80" t="s">
        <v>9</v>
      </c>
      <c r="B80" s="1">
        <v>45951</v>
      </c>
      <c r="C80" s="4">
        <v>255.08357119414509</v>
      </c>
      <c r="D80" s="4">
        <v>255.21349131081689</v>
      </c>
      <c r="E80" s="4">
        <v>244.51046776493439</v>
      </c>
      <c r="F80" s="4">
        <v>251.1761169433594</v>
      </c>
      <c r="G80" s="6">
        <v>27836400</v>
      </c>
      <c r="H80" s="8">
        <f t="shared" si="2"/>
        <v>-2.2099461298823397E-2</v>
      </c>
      <c r="I80" s="8">
        <f t="shared" si="3"/>
        <v>1.0319851825158799</v>
      </c>
    </row>
    <row r="81" spans="1:9" x14ac:dyDescent="0.35">
      <c r="A81" t="s">
        <v>9</v>
      </c>
      <c r="B81" s="1">
        <v>45952</v>
      </c>
      <c r="C81" s="4">
        <v>254.8437198779537</v>
      </c>
      <c r="D81" s="4">
        <v>257.01230313906012</v>
      </c>
      <c r="E81" s="4">
        <v>250.28770200626221</v>
      </c>
      <c r="F81" s="4">
        <v>252.36534118652341</v>
      </c>
      <c r="G81" s="6">
        <v>19650200</v>
      </c>
      <c r="H81" s="8">
        <f t="shared" si="2"/>
        <v>4.734623090905484E-3</v>
      </c>
      <c r="I81" s="8">
        <f t="shared" si="3"/>
        <v>1.0368712433904919</v>
      </c>
    </row>
    <row r="82" spans="1:9" x14ac:dyDescent="0.35">
      <c r="A82" t="s">
        <v>9</v>
      </c>
      <c r="B82" s="1">
        <v>45953</v>
      </c>
      <c r="C82" s="4">
        <v>253.53458071688391</v>
      </c>
      <c r="D82" s="4">
        <v>255.69317602396839</v>
      </c>
      <c r="E82" s="4">
        <v>252.60319681232599</v>
      </c>
      <c r="F82" s="4">
        <v>253.56455993652341</v>
      </c>
      <c r="G82" s="6">
        <v>13241300</v>
      </c>
      <c r="H82" s="8">
        <f t="shared" si="2"/>
        <v>4.7519153952034028E-3</v>
      </c>
      <c r="I82" s="8">
        <f t="shared" si="3"/>
        <v>1.0417983678148028</v>
      </c>
    </row>
    <row r="83" spans="1:9" x14ac:dyDescent="0.35">
      <c r="A83" t="s">
        <v>9</v>
      </c>
      <c r="B83" s="1">
        <v>45954</v>
      </c>
      <c r="C83" s="4">
        <v>257.13221998989042</v>
      </c>
      <c r="D83" s="4">
        <v>262.3388448619566</v>
      </c>
      <c r="E83" s="4">
        <v>255.93302072679299</v>
      </c>
      <c r="F83" s="4">
        <v>260.34014892578119</v>
      </c>
      <c r="G83" s="6">
        <v>18406000</v>
      </c>
      <c r="H83" s="8">
        <f t="shared" si="2"/>
        <v>2.672135645042022E-2</v>
      </c>
      <c r="I83" s="8">
        <f t="shared" si="3"/>
        <v>1.0696366333506482</v>
      </c>
    </row>
    <row r="84" spans="1:9" x14ac:dyDescent="0.35">
      <c r="A84" t="s">
        <v>9</v>
      </c>
      <c r="B84" s="1">
        <v>45957</v>
      </c>
      <c r="C84" s="4">
        <v>265.18697013205792</v>
      </c>
      <c r="D84" s="4">
        <v>270.62342568143652</v>
      </c>
      <c r="E84" s="4">
        <v>264.76726105156479</v>
      </c>
      <c r="F84" s="4">
        <v>269.75399780273438</v>
      </c>
      <c r="G84" s="6">
        <v>22987700</v>
      </c>
      <c r="H84" s="8">
        <f t="shared" si="2"/>
        <v>3.6159804455043618E-2</v>
      </c>
      <c r="I84" s="8">
        <f t="shared" si="3"/>
        <v>1.1083144848505586</v>
      </c>
    </row>
    <row r="85" spans="1:9" x14ac:dyDescent="0.35">
      <c r="A85" t="s">
        <v>9</v>
      </c>
      <c r="B85" s="1">
        <v>45958</v>
      </c>
      <c r="C85" s="4">
        <v>270.02383983085667</v>
      </c>
      <c r="D85" s="4">
        <v>271.20306314281788</v>
      </c>
      <c r="E85" s="4">
        <v>266.99581663283527</v>
      </c>
      <c r="F85" s="4">
        <v>268.25497436523438</v>
      </c>
      <c r="G85" s="6">
        <v>20101200</v>
      </c>
      <c r="H85" s="8">
        <f t="shared" si="2"/>
        <v>-5.5570017486680787E-3</v>
      </c>
      <c r="I85" s="8">
        <f t="shared" si="3"/>
        <v>1.1021555793201698</v>
      </c>
    </row>
    <row r="86" spans="1:9" x14ac:dyDescent="0.35">
      <c r="A86" t="s">
        <v>9</v>
      </c>
      <c r="B86" s="1">
        <v>45959</v>
      </c>
      <c r="C86" s="4">
        <v>268.43484969558523</v>
      </c>
      <c r="D86" s="4">
        <v>275.790066781071</v>
      </c>
      <c r="E86" s="4">
        <v>268.25497437633231</v>
      </c>
      <c r="F86" s="4">
        <v>274.9906005859375</v>
      </c>
      <c r="G86" s="6">
        <v>26287900</v>
      </c>
      <c r="H86" s="8">
        <f t="shared" si="2"/>
        <v>2.5109044992144072E-2</v>
      </c>
      <c r="I86" s="8">
        <f t="shared" si="3"/>
        <v>1.1298296533496626</v>
      </c>
    </row>
    <row r="87" spans="1:9" x14ac:dyDescent="0.35">
      <c r="A87" t="s">
        <v>9</v>
      </c>
      <c r="B87" s="1">
        <v>45960</v>
      </c>
      <c r="C87" s="4">
        <v>291.52979090409951</v>
      </c>
      <c r="D87" s="4">
        <v>291.73964543835967</v>
      </c>
      <c r="E87" s="4">
        <v>280.26715026616267</v>
      </c>
      <c r="F87" s="4">
        <v>281.7161865234375</v>
      </c>
      <c r="G87" s="6">
        <v>48570000</v>
      </c>
      <c r="H87" s="8">
        <f t="shared" si="2"/>
        <v>2.4457512086483779E-2</v>
      </c>
      <c r="I87" s="8">
        <f t="shared" si="3"/>
        <v>1.1574624757521297</v>
      </c>
    </row>
    <row r="88" spans="1:9" x14ac:dyDescent="0.35">
      <c r="A88" t="s">
        <v>9</v>
      </c>
      <c r="B88" s="1">
        <v>45961</v>
      </c>
      <c r="C88" s="4">
        <v>283.02033722941343</v>
      </c>
      <c r="D88" s="4">
        <v>286.09834615146849</v>
      </c>
      <c r="E88" s="4">
        <v>277.34206555342632</v>
      </c>
      <c r="F88" s="4">
        <v>281.63626098632813</v>
      </c>
      <c r="G88" s="6">
        <v>29932800</v>
      </c>
      <c r="H88" s="8">
        <f t="shared" si="2"/>
        <v>-2.8370942435260307E-4</v>
      </c>
      <c r="I88" s="8">
        <f t="shared" si="3"/>
        <v>1.1571340927394242</v>
      </c>
    </row>
    <row r="89" spans="1:9" x14ac:dyDescent="0.35">
      <c r="A89" t="s">
        <v>9</v>
      </c>
      <c r="B89" s="1">
        <v>45964</v>
      </c>
      <c r="C89" s="4">
        <v>282.23588008942733</v>
      </c>
      <c r="D89" s="4">
        <v>285.75357412647901</v>
      </c>
      <c r="E89" s="4">
        <v>280.1871983580786</v>
      </c>
      <c r="F89" s="4">
        <v>283.93475341796881</v>
      </c>
      <c r="G89" s="6">
        <v>19691800</v>
      </c>
      <c r="H89" s="8">
        <f t="shared" si="2"/>
        <v>8.1612091553518416E-3</v>
      </c>
      <c r="I89" s="8">
        <f t="shared" si="3"/>
        <v>1.1665777060910589</v>
      </c>
    </row>
    <row r="90" spans="1:9" x14ac:dyDescent="0.35">
      <c r="A90" t="s">
        <v>9</v>
      </c>
      <c r="B90" s="1">
        <v>45965</v>
      </c>
      <c r="C90" s="4">
        <v>276.88434628169722</v>
      </c>
      <c r="D90" s="4">
        <v>281.65024916844402</v>
      </c>
      <c r="E90" s="4">
        <v>276.68446448968371</v>
      </c>
      <c r="F90" s="4">
        <v>277.87869262695313</v>
      </c>
      <c r="G90" s="6">
        <v>18123700</v>
      </c>
      <c r="H90" s="8">
        <f t="shared" si="2"/>
        <v>-2.1329057884297811E-2</v>
      </c>
      <c r="I90" s="8">
        <f t="shared" si="3"/>
        <v>1.1416957026713113</v>
      </c>
    </row>
    <row r="91" spans="1:9" x14ac:dyDescent="0.35">
      <c r="A91" t="s">
        <v>9</v>
      </c>
      <c r="B91" s="1">
        <v>45966</v>
      </c>
      <c r="C91" s="4">
        <v>279.19783739958859</v>
      </c>
      <c r="D91" s="4">
        <v>286.51307177195639</v>
      </c>
      <c r="E91" s="4">
        <v>277.69881546251389</v>
      </c>
      <c r="F91" s="4">
        <v>284.5643310546875</v>
      </c>
      <c r="G91" s="6">
        <v>20063200</v>
      </c>
      <c r="H91" s="8">
        <f t="shared" si="2"/>
        <v>2.405955765996682E-2</v>
      </c>
      <c r="I91" s="8">
        <f t="shared" si="3"/>
        <v>1.1691643962598681</v>
      </c>
    </row>
    <row r="92" spans="1:9" x14ac:dyDescent="0.35">
      <c r="A92" t="s">
        <v>9</v>
      </c>
      <c r="B92" s="1">
        <v>45967</v>
      </c>
      <c r="C92" s="4">
        <v>285.54869267150292</v>
      </c>
      <c r="D92" s="4">
        <v>288.62170004085368</v>
      </c>
      <c r="E92" s="4">
        <v>281.43638531671388</v>
      </c>
      <c r="F92" s="4">
        <v>285.15396118164063</v>
      </c>
      <c r="G92" s="6">
        <v>23103800</v>
      </c>
      <c r="H92" s="8">
        <f t="shared" si="2"/>
        <v>2.072045097035756E-3</v>
      </c>
      <c r="I92" s="8">
        <f t="shared" si="3"/>
        <v>1.1715869576147671</v>
      </c>
    </row>
    <row r="93" spans="1:9" x14ac:dyDescent="0.35">
      <c r="A93" t="s">
        <v>9</v>
      </c>
      <c r="B93" s="1">
        <v>45968</v>
      </c>
      <c r="C93" s="4">
        <v>284.02467776243662</v>
      </c>
      <c r="D93" s="4">
        <v>284.31449721282979</v>
      </c>
      <c r="E93" s="4">
        <v>275.56019924413692</v>
      </c>
      <c r="F93" s="4">
        <v>279.51763916015619</v>
      </c>
      <c r="G93" s="6">
        <v>21991100</v>
      </c>
      <c r="H93" s="8">
        <f t="shared" si="2"/>
        <v>-1.9765890672281922E-2</v>
      </c>
      <c r="I93" s="8">
        <f t="shared" si="3"/>
        <v>1.1484294978974821</v>
      </c>
    </row>
    <row r="94" spans="1:9" x14ac:dyDescent="0.35">
      <c r="A94" t="s">
        <v>9</v>
      </c>
      <c r="B94" s="1">
        <v>45971</v>
      </c>
      <c r="C94" s="4">
        <v>285.07900324144867</v>
      </c>
      <c r="D94" s="4">
        <v>291.26994051890449</v>
      </c>
      <c r="E94" s="4">
        <v>283.35512195449269</v>
      </c>
      <c r="F94" s="4">
        <v>290.4005126953125</v>
      </c>
      <c r="G94" s="6">
        <v>19508200</v>
      </c>
      <c r="H94" s="8">
        <f t="shared" si="2"/>
        <v>3.8934478581942759E-2</v>
      </c>
      <c r="I94" s="8">
        <f t="shared" si="3"/>
        <v>1.1931430015862428</v>
      </c>
    </row>
    <row r="95" spans="1:9" x14ac:dyDescent="0.35">
      <c r="A95" t="s">
        <v>9</v>
      </c>
      <c r="B95" s="1">
        <v>45972</v>
      </c>
      <c r="C95" s="4">
        <v>288.01210422755503</v>
      </c>
      <c r="D95" s="4">
        <v>292.14938906618619</v>
      </c>
      <c r="E95" s="4">
        <v>287.6923055498566</v>
      </c>
      <c r="F95" s="4">
        <v>291.54977416992188</v>
      </c>
      <c r="G95" s="6">
        <v>14156700</v>
      </c>
      <c r="H95" s="8">
        <f t="shared" si="2"/>
        <v>3.957504978013511E-3</v>
      </c>
      <c r="I95" s="8">
        <f t="shared" si="3"/>
        <v>1.1978648709545023</v>
      </c>
    </row>
    <row r="96" spans="1:9" x14ac:dyDescent="0.35">
      <c r="A96" t="s">
        <v>9</v>
      </c>
      <c r="B96" s="1">
        <v>45973</v>
      </c>
      <c r="C96" s="4">
        <v>291.89454788233678</v>
      </c>
      <c r="D96" s="4">
        <v>292.16936247888572</v>
      </c>
      <c r="E96" s="4">
        <v>284.1945850710095</v>
      </c>
      <c r="F96" s="4">
        <v>287.24258422851563</v>
      </c>
      <c r="G96" s="6">
        <v>16998800</v>
      </c>
      <c r="H96" s="8">
        <f t="shared" si="2"/>
        <v>-1.4773429180898358E-2</v>
      </c>
      <c r="I96" s="8">
        <f t="shared" si="3"/>
        <v>1.1801682991151701</v>
      </c>
    </row>
    <row r="97" spans="1:9" x14ac:dyDescent="0.35">
      <c r="A97" t="s">
        <v>9</v>
      </c>
      <c r="B97" s="1">
        <v>45974</v>
      </c>
      <c r="C97" s="4">
        <v>282.80048919691171</v>
      </c>
      <c r="D97" s="4">
        <v>283.32517131371287</v>
      </c>
      <c r="E97" s="4">
        <v>277.8187538786583</v>
      </c>
      <c r="F97" s="4">
        <v>278.93801879882813</v>
      </c>
      <c r="G97" s="6">
        <v>18060200</v>
      </c>
      <c r="H97" s="8">
        <f t="shared" si="2"/>
        <v>-2.8911330999169708E-2</v>
      </c>
      <c r="I97" s="8">
        <f t="shared" si="3"/>
        <v>1.1460480627847243</v>
      </c>
    </row>
    <row r="98" spans="1:9" x14ac:dyDescent="0.35">
      <c r="A98" t="s">
        <v>9</v>
      </c>
      <c r="B98" s="1">
        <v>45975</v>
      </c>
      <c r="C98" s="4">
        <v>271.71770164206481</v>
      </c>
      <c r="D98" s="4">
        <v>278.96797594579851</v>
      </c>
      <c r="E98" s="4">
        <v>271.23303252206858</v>
      </c>
      <c r="F98" s="4">
        <v>276.79940795898438</v>
      </c>
      <c r="G98" s="6">
        <v>18330500</v>
      </c>
      <c r="H98" s="8">
        <f t="shared" si="2"/>
        <v>-7.6669750830421213E-3</v>
      </c>
      <c r="I98" s="8">
        <f t="shared" si="3"/>
        <v>1.1372613408433851</v>
      </c>
    </row>
    <row r="99" spans="1:9" x14ac:dyDescent="0.35">
      <c r="A99" t="s">
        <v>9</v>
      </c>
      <c r="B99" s="1">
        <v>45978</v>
      </c>
      <c r="C99" s="4">
        <v>286.21325402295531</v>
      </c>
      <c r="D99" s="4">
        <v>294.32795470266541</v>
      </c>
      <c r="E99" s="4">
        <v>284.04468599528099</v>
      </c>
      <c r="F99" s="4">
        <v>285.41378784179688</v>
      </c>
      <c r="G99" s="6">
        <v>34286100</v>
      </c>
      <c r="H99" s="8">
        <f t="shared" si="2"/>
        <v>3.112138117032737E-2</v>
      </c>
      <c r="I99" s="8">
        <f t="shared" si="3"/>
        <v>1.1726544845220499</v>
      </c>
    </row>
    <row r="100" spans="1:9" x14ac:dyDescent="0.35">
      <c r="A100" t="s">
        <v>9</v>
      </c>
      <c r="B100" s="1">
        <v>45979</v>
      </c>
      <c r="C100" s="4">
        <v>288.29689607577558</v>
      </c>
      <c r="D100" s="4">
        <v>289.24628888451201</v>
      </c>
      <c r="E100" s="4">
        <v>278.82809807753432</v>
      </c>
      <c r="F100" s="4">
        <v>284.77420043945313</v>
      </c>
      <c r="G100" s="6">
        <v>29702200</v>
      </c>
      <c r="H100" s="8">
        <f t="shared" si="2"/>
        <v>-2.240912771524091E-3</v>
      </c>
      <c r="I100" s="8">
        <f t="shared" si="3"/>
        <v>1.1700266681110996</v>
      </c>
    </row>
    <row r="101" spans="1:9" x14ac:dyDescent="0.35">
      <c r="A101" t="s">
        <v>9</v>
      </c>
      <c r="B101" s="1">
        <v>45980</v>
      </c>
      <c r="C101" s="4">
        <v>287.49741656605772</v>
      </c>
      <c r="D101" s="4">
        <v>304.05161802852632</v>
      </c>
      <c r="E101" s="4">
        <v>287.48244220539198</v>
      </c>
      <c r="F101" s="4">
        <v>292.7989501953125</v>
      </c>
      <c r="G101" s="6">
        <v>43123600</v>
      </c>
      <c r="H101" s="8">
        <f t="shared" si="2"/>
        <v>2.8179342593099638E-2</v>
      </c>
      <c r="I101" s="8">
        <f t="shared" si="3"/>
        <v>1.2029972504348652</v>
      </c>
    </row>
    <row r="102" spans="1:9" x14ac:dyDescent="0.35">
      <c r="A102" t="s">
        <v>9</v>
      </c>
      <c r="B102" s="1">
        <v>45981</v>
      </c>
      <c r="C102" s="4">
        <v>304.5413108694683</v>
      </c>
      <c r="D102" s="4">
        <v>306.68993354598803</v>
      </c>
      <c r="E102" s="4">
        <v>288.98148512013131</v>
      </c>
      <c r="F102" s="4">
        <v>289.79095458984381</v>
      </c>
      <c r="G102" s="6">
        <v>34801400</v>
      </c>
      <c r="H102" s="8">
        <f t="shared" si="2"/>
        <v>-1.0273245868751236E-2</v>
      </c>
      <c r="I102" s="8">
        <f t="shared" si="3"/>
        <v>1.1906385639017161</v>
      </c>
    </row>
    <row r="103" spans="1:9" x14ac:dyDescent="0.35">
      <c r="A103" t="s">
        <v>9</v>
      </c>
      <c r="B103" s="1">
        <v>45982</v>
      </c>
      <c r="C103" s="4">
        <v>296.67643415737018</v>
      </c>
      <c r="D103" s="4">
        <v>303.76180777649893</v>
      </c>
      <c r="E103" s="4">
        <v>294.16806093268019</v>
      </c>
      <c r="F103" s="4">
        <v>299.45462036132813</v>
      </c>
      <c r="G103" s="6">
        <v>43670600</v>
      </c>
      <c r="H103" s="8">
        <f t="shared" si="2"/>
        <v>3.3347023495477301E-2</v>
      </c>
      <c r="I103" s="8">
        <f t="shared" si="3"/>
        <v>1.230342816066768</v>
      </c>
    </row>
    <row r="104" spans="1:9" x14ac:dyDescent="0.35">
      <c r="A104" t="s">
        <v>9</v>
      </c>
      <c r="B104" s="1">
        <v>45985</v>
      </c>
      <c r="C104" s="4">
        <v>310.8072320588326</v>
      </c>
      <c r="D104" s="4">
        <v>319.59147904366591</v>
      </c>
      <c r="E104" s="4">
        <v>309.19826591579601</v>
      </c>
      <c r="F104" s="4">
        <v>318.26235961914063</v>
      </c>
      <c r="G104" s="6">
        <v>55311800</v>
      </c>
      <c r="H104" s="8">
        <f t="shared" si="2"/>
        <v>6.2806642405846644E-2</v>
      </c>
      <c r="I104" s="8">
        <f t="shared" si="3"/>
        <v>1.307616517352076</v>
      </c>
    </row>
    <row r="105" spans="1:9" x14ac:dyDescent="0.35">
      <c r="A105" t="s">
        <v>9</v>
      </c>
      <c r="B105" s="1">
        <v>45986</v>
      </c>
      <c r="C105" s="4">
        <v>326.58689828383473</v>
      </c>
      <c r="D105" s="4">
        <v>328.45570457080521</v>
      </c>
      <c r="E105" s="4">
        <v>317.6087780037563</v>
      </c>
      <c r="F105" s="4">
        <v>323.42898559570313</v>
      </c>
      <c r="G105" s="6">
        <v>50899300</v>
      </c>
      <c r="H105" s="8">
        <f t="shared" si="2"/>
        <v>1.623385807465676E-2</v>
      </c>
      <c r="I105" s="8">
        <f t="shared" si="3"/>
        <v>1.3288441783108467</v>
      </c>
    </row>
    <row r="106" spans="1:9" x14ac:dyDescent="0.35">
      <c r="A106" t="s">
        <v>9</v>
      </c>
      <c r="B106" s="1">
        <v>45987</v>
      </c>
      <c r="C106" s="4">
        <v>320.57084097778147</v>
      </c>
      <c r="D106" s="4">
        <v>324.77808739713271</v>
      </c>
      <c r="E106" s="4">
        <v>316.99318865990762</v>
      </c>
      <c r="F106" s="4">
        <v>320.0711669921875</v>
      </c>
      <c r="G106" s="6">
        <v>29839600</v>
      </c>
      <c r="H106" s="8">
        <f t="shared" si="2"/>
        <v>-1.0381934684459632E-2</v>
      </c>
      <c r="I106" s="8">
        <f t="shared" si="3"/>
        <v>1.3150482048457992</v>
      </c>
    </row>
    <row r="107" spans="1:9" x14ac:dyDescent="0.35">
      <c r="A107" t="s">
        <v>9</v>
      </c>
      <c r="B107" s="1">
        <v>45989</v>
      </c>
      <c r="C107" s="4">
        <v>323.21912492867199</v>
      </c>
      <c r="D107" s="4">
        <v>326.66688781956668</v>
      </c>
      <c r="E107" s="4">
        <v>316.73336599519831</v>
      </c>
      <c r="F107" s="4">
        <v>319.91128540039063</v>
      </c>
      <c r="G107" s="6">
        <v>19695800</v>
      </c>
      <c r="H107" s="8">
        <f t="shared" si="2"/>
        <v>-4.995188829388606E-4</v>
      </c>
      <c r="I107" s="8">
        <f t="shared" si="3"/>
        <v>1.3143913134355039</v>
      </c>
    </row>
    <row r="108" spans="1:9" x14ac:dyDescent="0.35">
      <c r="A108" t="s">
        <v>9</v>
      </c>
      <c r="B108" s="1">
        <v>45992</v>
      </c>
      <c r="C108" s="4">
        <v>317.26799565865412</v>
      </c>
      <c r="D108" s="4">
        <v>319.42158926511092</v>
      </c>
      <c r="E108" s="4">
        <v>313.77527946257868</v>
      </c>
      <c r="F108" s="4">
        <v>314.91452026367188</v>
      </c>
      <c r="G108" s="6">
        <v>28520600</v>
      </c>
      <c r="H108" s="8">
        <f t="shared" si="2"/>
        <v>-1.5619221217735287E-2</v>
      </c>
      <c r="I108" s="8">
        <f t="shared" si="3"/>
        <v>1.2938615447442852</v>
      </c>
    </row>
    <row r="109" spans="1:9" x14ac:dyDescent="0.35">
      <c r="A109" t="s">
        <v>9</v>
      </c>
      <c r="B109" s="1">
        <v>45993</v>
      </c>
      <c r="C109" s="4">
        <v>316.6933654189159</v>
      </c>
      <c r="D109" s="4">
        <v>318.39226916605139</v>
      </c>
      <c r="E109" s="4">
        <v>314.01512018023521</v>
      </c>
      <c r="F109" s="4">
        <v>315.81393432617188</v>
      </c>
      <c r="G109" s="6">
        <v>24668200</v>
      </c>
      <c r="H109" s="8">
        <f t="shared" si="2"/>
        <v>2.8560577700480049E-3</v>
      </c>
      <c r="I109" s="8">
        <f t="shared" si="3"/>
        <v>1.2975568880625183</v>
      </c>
    </row>
    <row r="110" spans="1:9" x14ac:dyDescent="0.35">
      <c r="A110" t="s">
        <v>9</v>
      </c>
      <c r="B110" s="1">
        <v>45994</v>
      </c>
      <c r="C110" s="4">
        <v>315.82394606355052</v>
      </c>
      <c r="D110" s="4">
        <v>321.83003728081411</v>
      </c>
      <c r="E110" s="4">
        <v>314.07508706995469</v>
      </c>
      <c r="F110" s="4">
        <v>320.41094970703119</v>
      </c>
      <c r="G110" s="6">
        <v>32285100</v>
      </c>
      <c r="H110" s="8">
        <f t="shared" si="2"/>
        <v>1.4556087877083764E-2</v>
      </c>
      <c r="I110" s="8">
        <f t="shared" si="3"/>
        <v>1.3164442401506717</v>
      </c>
    </row>
    <row r="111" spans="1:9" x14ac:dyDescent="0.35">
      <c r="A111" t="s">
        <v>9</v>
      </c>
      <c r="B111" s="1">
        <v>45995</v>
      </c>
      <c r="C111" s="4">
        <v>322.83439794428062</v>
      </c>
      <c r="D111" s="4">
        <v>322.88834834302389</v>
      </c>
      <c r="E111" s="4">
        <v>315.38424129791463</v>
      </c>
      <c r="F111" s="4">
        <v>318.18243408203119</v>
      </c>
      <c r="G111" s="6">
        <v>20831600</v>
      </c>
      <c r="H111" s="8">
        <f t="shared" si="2"/>
        <v>-6.9551793627454072E-3</v>
      </c>
      <c r="I111" s="8">
        <f t="shared" si="3"/>
        <v>1.3072881343393707</v>
      </c>
    </row>
    <row r="112" spans="1:9" x14ac:dyDescent="0.35">
      <c r="A112" t="s">
        <v>9</v>
      </c>
      <c r="B112" s="1">
        <v>45996</v>
      </c>
      <c r="C112" s="4">
        <v>319.79134083015879</v>
      </c>
      <c r="D112" s="4">
        <v>323.61883002174108</v>
      </c>
      <c r="E112" s="4">
        <v>319.77136485052142</v>
      </c>
      <c r="F112" s="4">
        <v>321.87997436523438</v>
      </c>
      <c r="G112" s="6">
        <v>15719900</v>
      </c>
      <c r="H112" s="8">
        <f t="shared" si="2"/>
        <v>1.1620818395807206E-2</v>
      </c>
      <c r="I112" s="8">
        <f t="shared" si="3"/>
        <v>1.3224798923395222</v>
      </c>
    </row>
    <row r="113" spans="1:9" x14ac:dyDescent="0.35">
      <c r="A113" t="s">
        <v>9</v>
      </c>
      <c r="B113" s="1">
        <v>45999</v>
      </c>
      <c r="C113" s="4">
        <v>321.02999877929688</v>
      </c>
      <c r="D113" s="4">
        <v>321.23001098632813</v>
      </c>
      <c r="E113" s="4">
        <v>311.91000366210938</v>
      </c>
      <c r="F113" s="4">
        <v>314.45001220703119</v>
      </c>
      <c r="G113" s="6">
        <v>22006900</v>
      </c>
      <c r="H113" s="8">
        <f t="shared" si="2"/>
        <v>-2.3083020846063784E-2</v>
      </c>
      <c r="I113" s="8">
        <f t="shared" si="3"/>
        <v>1.291953061416149</v>
      </c>
    </row>
    <row r="114" spans="1:9" x14ac:dyDescent="0.35">
      <c r="A114" t="s">
        <v>9</v>
      </c>
      <c r="B114" s="1">
        <v>46000</v>
      </c>
      <c r="C114" s="4">
        <v>313.10000610351563</v>
      </c>
      <c r="D114" s="4">
        <v>318.70901489257813</v>
      </c>
      <c r="E114" s="4">
        <v>312.6199951171875</v>
      </c>
      <c r="F114" s="4">
        <v>317.75</v>
      </c>
      <c r="G114" s="6">
        <v>14151300</v>
      </c>
      <c r="H114" s="8">
        <f t="shared" si="2"/>
        <v>1.0494475003537678E-2</v>
      </c>
      <c r="I114" s="8">
        <f t="shared" si="3"/>
        <v>1.3055114305249247</v>
      </c>
    </row>
    <row r="115" spans="1:9" x14ac:dyDescent="0.35">
      <c r="A115" t="s">
        <v>9</v>
      </c>
      <c r="B115" s="1">
        <v>46001</v>
      </c>
      <c r="C115" s="4">
        <v>316.6199951171875</v>
      </c>
      <c r="D115" s="4">
        <v>321.8699951171875</v>
      </c>
      <c r="E115" s="4">
        <v>315.39999389648438</v>
      </c>
      <c r="F115" s="4">
        <v>321</v>
      </c>
      <c r="G115" s="6">
        <v>22764500</v>
      </c>
      <c r="H115" s="8">
        <f t="shared" si="2"/>
        <v>1.0228166797797011E-2</v>
      </c>
      <c r="I115" s="8">
        <f t="shared" si="3"/>
        <v>1.3188644191927643</v>
      </c>
    </row>
    <row r="116" spans="1:9" x14ac:dyDescent="0.35">
      <c r="A116" t="s">
        <v>9</v>
      </c>
      <c r="B116" s="1">
        <v>46002</v>
      </c>
      <c r="C116" s="4">
        <v>321.10000610351563</v>
      </c>
      <c r="D116" s="4">
        <v>321.989990234375</v>
      </c>
      <c r="E116" s="4">
        <v>309.8800048828125</v>
      </c>
      <c r="F116" s="4">
        <v>313.70001220703119</v>
      </c>
      <c r="G116" s="6">
        <v>25912100</v>
      </c>
      <c r="H116" s="8">
        <f t="shared" si="2"/>
        <v>-2.2741394993672295E-2</v>
      </c>
      <c r="I116" s="8">
        <f t="shared" si="3"/>
        <v>1.2888716024928013</v>
      </c>
    </row>
    <row r="117" spans="1:9" x14ac:dyDescent="0.35">
      <c r="A117" t="s">
        <v>9</v>
      </c>
      <c r="B117" s="1">
        <v>46003</v>
      </c>
      <c r="C117" s="4">
        <v>314.79501342773438</v>
      </c>
      <c r="D117" s="4">
        <v>316.1400146484375</v>
      </c>
      <c r="E117" s="4">
        <v>306.95999145507813</v>
      </c>
      <c r="F117" s="4">
        <v>310.51998901367188</v>
      </c>
      <c r="G117" s="6">
        <v>21264800</v>
      </c>
      <c r="H117" s="8">
        <f t="shared" si="2"/>
        <v>-1.0137147177605502E-2</v>
      </c>
      <c r="I117" s="8">
        <f t="shared" si="3"/>
        <v>1.2758061213652956</v>
      </c>
    </row>
    <row r="118" spans="1:9" x14ac:dyDescent="0.35">
      <c r="A118" t="s">
        <v>9</v>
      </c>
      <c r="B118" s="1">
        <v>46006</v>
      </c>
      <c r="C118" s="4">
        <v>312.625</v>
      </c>
      <c r="D118" s="4">
        <v>312.70001220703119</v>
      </c>
      <c r="E118" s="4">
        <v>305.739990234375</v>
      </c>
      <c r="F118" s="4">
        <v>309.32000732421881</v>
      </c>
      <c r="G118" s="6">
        <v>22028900</v>
      </c>
      <c r="H118" s="8">
        <f t="shared" si="2"/>
        <v>-3.8644265487212618E-3</v>
      </c>
      <c r="I118" s="8">
        <f t="shared" si="3"/>
        <v>1.2708758623188705</v>
      </c>
    </row>
    <row r="119" spans="1:9" x14ac:dyDescent="0.35">
      <c r="A119" t="s">
        <v>9</v>
      </c>
      <c r="B119" s="1">
        <v>46007</v>
      </c>
      <c r="C119" s="4">
        <v>306</v>
      </c>
      <c r="D119" s="4">
        <v>311.84500122070313</v>
      </c>
      <c r="E119" s="4">
        <v>303.82998657226563</v>
      </c>
      <c r="F119" s="4">
        <v>307.73001098632813</v>
      </c>
      <c r="G119" s="6">
        <v>21285200</v>
      </c>
      <c r="H119" s="8">
        <f t="shared" si="2"/>
        <v>-5.1402958109466913E-3</v>
      </c>
      <c r="I119" s="8">
        <f t="shared" si="3"/>
        <v>1.2643431844475597</v>
      </c>
    </row>
    <row r="120" spans="1:9" x14ac:dyDescent="0.35">
      <c r="A120" t="s">
        <v>9</v>
      </c>
      <c r="B120" s="1">
        <v>46008</v>
      </c>
      <c r="C120" s="4">
        <v>309.010009765625</v>
      </c>
      <c r="D120" s="4">
        <v>309.19500732421881</v>
      </c>
      <c r="E120" s="4">
        <v>297.45001220703119</v>
      </c>
      <c r="F120" s="4">
        <v>298.05999755859381</v>
      </c>
      <c r="G120" s="6">
        <v>29120400</v>
      </c>
      <c r="H120" s="8">
        <f t="shared" si="2"/>
        <v>-3.1423693115729096E-2</v>
      </c>
      <c r="I120" s="8">
        <f t="shared" si="3"/>
        <v>1.2246128522265158</v>
      </c>
    </row>
    <row r="121" spans="1:9" x14ac:dyDescent="0.35">
      <c r="A121" t="s">
        <v>9</v>
      </c>
      <c r="B121" s="1">
        <v>46009</v>
      </c>
      <c r="C121" s="4">
        <v>303.05999755859381</v>
      </c>
      <c r="D121" s="4">
        <v>305.260009765625</v>
      </c>
      <c r="E121" s="4">
        <v>300.6300048828125</v>
      </c>
      <c r="F121" s="4">
        <v>303.75</v>
      </c>
      <c r="G121" s="6">
        <v>21040500</v>
      </c>
      <c r="H121" s="8">
        <f t="shared" si="2"/>
        <v>1.9090124431365971E-2</v>
      </c>
      <c r="I121" s="8">
        <f t="shared" si="3"/>
        <v>1.24799086395577</v>
      </c>
    </row>
    <row r="122" spans="1:9" x14ac:dyDescent="0.35">
      <c r="A122" t="s">
        <v>9</v>
      </c>
      <c r="B122" s="1">
        <v>46010</v>
      </c>
      <c r="C122" s="4">
        <v>303.26998901367188</v>
      </c>
      <c r="D122" s="4">
        <v>308.989990234375</v>
      </c>
      <c r="E122" s="4">
        <v>302.33999633789063</v>
      </c>
      <c r="F122" s="4">
        <v>308.6099853515625</v>
      </c>
      <c r="G122" s="6">
        <v>45234400</v>
      </c>
      <c r="H122" s="8">
        <f t="shared" si="2"/>
        <v>1.5999951774691358E-2</v>
      </c>
      <c r="I122" s="8">
        <f t="shared" si="3"/>
        <v>1.2679586575943178</v>
      </c>
    </row>
    <row r="123" spans="1:9" x14ac:dyDescent="0.35">
      <c r="A123" t="s">
        <v>9</v>
      </c>
      <c r="B123" s="1">
        <v>46013</v>
      </c>
      <c r="C123" s="4">
        <v>311.22500610351563</v>
      </c>
      <c r="D123" s="4">
        <v>311.70001220703119</v>
      </c>
      <c r="E123" s="4">
        <v>306.58999633789063</v>
      </c>
      <c r="F123" s="4">
        <v>311.32998657226563</v>
      </c>
      <c r="G123" s="6">
        <v>14091400</v>
      </c>
      <c r="H123" s="8">
        <f t="shared" si="2"/>
        <v>8.8137174745157795E-3</v>
      </c>
      <c r="I123" s="8">
        <f t="shared" si="3"/>
        <v>1.2791340869717205</v>
      </c>
    </row>
    <row r="124" spans="1:9" x14ac:dyDescent="0.35">
      <c r="A124" t="s">
        <v>9</v>
      </c>
      <c r="B124" s="1">
        <v>46014</v>
      </c>
      <c r="C124" s="4">
        <v>311.135009765625</v>
      </c>
      <c r="D124" s="4">
        <v>316.29998779296881</v>
      </c>
      <c r="E124" s="4">
        <v>310.75</v>
      </c>
      <c r="F124" s="4">
        <v>315.67999267578119</v>
      </c>
      <c r="G124" s="6">
        <v>13961400</v>
      </c>
      <c r="H124" s="8">
        <f t="shared" si="2"/>
        <v>1.3972332544670729E-2</v>
      </c>
      <c r="I124" s="8">
        <f t="shared" si="3"/>
        <v>1.2970065738041132</v>
      </c>
    </row>
    <row r="125" spans="1:9" x14ac:dyDescent="0.35">
      <c r="A125" t="s">
        <v>9</v>
      </c>
      <c r="B125" s="1">
        <v>46015</v>
      </c>
      <c r="C125" s="4">
        <v>316.14999389648438</v>
      </c>
      <c r="D125" s="4">
        <v>316.29000854492188</v>
      </c>
      <c r="E125" s="4">
        <v>313.32000732421881</v>
      </c>
      <c r="F125" s="4">
        <v>315.67001342773438</v>
      </c>
      <c r="G125" s="6">
        <v>6138200</v>
      </c>
      <c r="H125" s="8">
        <f t="shared" si="2"/>
        <v>-3.1611911677492125E-5</v>
      </c>
      <c r="I125" s="8">
        <f t="shared" si="3"/>
        <v>1.296965572946857</v>
      </c>
    </row>
    <row r="126" spans="1:9" x14ac:dyDescent="0.35">
      <c r="A126" t="s">
        <v>9</v>
      </c>
      <c r="B126" s="1">
        <v>46017</v>
      </c>
      <c r="C126" s="4">
        <v>315.92001342773438</v>
      </c>
      <c r="D126" s="4">
        <v>316.55999755859381</v>
      </c>
      <c r="E126" s="4">
        <v>313.72000122070313</v>
      </c>
      <c r="F126" s="4">
        <v>314.95999145507813</v>
      </c>
      <c r="G126" s="6">
        <v>6730900</v>
      </c>
      <c r="H126" s="8">
        <f t="shared" si="2"/>
        <v>-2.2492537854527437E-3</v>
      </c>
      <c r="I126" s="8">
        <f t="shared" si="3"/>
        <v>1.2940483682223045</v>
      </c>
    </row>
    <row r="127" spans="1:9" x14ac:dyDescent="0.35">
      <c r="A127" t="s">
        <v>9</v>
      </c>
      <c r="B127" s="1">
        <v>46020</v>
      </c>
      <c r="C127" s="4">
        <v>312.82000732421881</v>
      </c>
      <c r="D127" s="4">
        <v>314.97000122070313</v>
      </c>
      <c r="E127" s="4">
        <v>311.89999389648438</v>
      </c>
      <c r="F127" s="4">
        <v>314.3900146484375</v>
      </c>
      <c r="G127" s="6">
        <v>12305800</v>
      </c>
      <c r="H127" s="8">
        <f t="shared" si="2"/>
        <v>-1.8096800295408924E-3</v>
      </c>
      <c r="I127" s="8">
        <f t="shared" si="3"/>
        <v>1.2917065547330726</v>
      </c>
    </row>
    <row r="128" spans="1:9" x14ac:dyDescent="0.35">
      <c r="A128" t="s">
        <v>8</v>
      </c>
      <c r="B128" s="1">
        <v>45930</v>
      </c>
      <c r="C128" s="4">
        <v>512.28119876635958</v>
      </c>
      <c r="D128" s="4">
        <v>517.19199058126446</v>
      </c>
      <c r="E128" s="4">
        <v>508.70790002171151</v>
      </c>
      <c r="F128" s="4">
        <v>516.982421875</v>
      </c>
      <c r="G128" s="6">
        <v>19728200</v>
      </c>
      <c r="H128" s="8" t="str">
        <f t="shared" si="2"/>
        <v/>
      </c>
      <c r="I128" s="8">
        <v>1</v>
      </c>
    </row>
    <row r="129" spans="1:9" x14ac:dyDescent="0.35">
      <c r="A129" t="s">
        <v>8</v>
      </c>
      <c r="B129" s="1">
        <v>45931</v>
      </c>
      <c r="C129" s="4">
        <v>513.83827414793154</v>
      </c>
      <c r="D129" s="4">
        <v>519.53762905342626</v>
      </c>
      <c r="E129" s="4">
        <v>510.7340986553811</v>
      </c>
      <c r="F129" s="4">
        <v>518.7391357421875</v>
      </c>
      <c r="G129" s="6">
        <v>22632300</v>
      </c>
      <c r="H129" s="8">
        <f t="shared" si="2"/>
        <v>3.398014696159731E-3</v>
      </c>
      <c r="I129" s="8">
        <f t="shared" si="3"/>
        <v>1.0033980146961596</v>
      </c>
    </row>
    <row r="130" spans="1:9" x14ac:dyDescent="0.35">
      <c r="A130" t="s">
        <v>8</v>
      </c>
      <c r="B130" s="1">
        <v>45932</v>
      </c>
      <c r="C130" s="4">
        <v>516.67302532275846</v>
      </c>
      <c r="D130" s="4">
        <v>520.62558876422202</v>
      </c>
      <c r="E130" s="4">
        <v>509.72600517910229</v>
      </c>
      <c r="F130" s="4">
        <v>514.77655029296875</v>
      </c>
      <c r="G130" s="6">
        <v>21222900</v>
      </c>
      <c r="H130" s="8">
        <f t="shared" ref="H130:H193" si="4">IF(A130=A129,(F130-F129)/F129,"")</f>
        <v>-7.6388789204216677E-3</v>
      </c>
      <c r="I130" s="8">
        <f t="shared" si="3"/>
        <v>0.99573317875290412</v>
      </c>
    </row>
    <row r="131" spans="1:9" x14ac:dyDescent="0.35">
      <c r="A131" t="s">
        <v>8</v>
      </c>
      <c r="B131" s="1">
        <v>45933</v>
      </c>
      <c r="C131" s="4">
        <v>516.13395092631708</v>
      </c>
      <c r="D131" s="4">
        <v>519.51763249043529</v>
      </c>
      <c r="E131" s="4">
        <v>514.03789842739639</v>
      </c>
      <c r="F131" s="4">
        <v>516.38348388671875</v>
      </c>
      <c r="G131" s="6">
        <v>15112300</v>
      </c>
      <c r="H131" s="8">
        <f t="shared" si="4"/>
        <v>3.1216138202788467E-3</v>
      </c>
      <c r="I131" s="8">
        <f t="shared" si="3"/>
        <v>0.99884147320500927</v>
      </c>
    </row>
    <row r="132" spans="1:9" x14ac:dyDescent="0.35">
      <c r="A132" t="s">
        <v>8</v>
      </c>
      <c r="B132" s="1">
        <v>45936</v>
      </c>
      <c r="C132" s="4">
        <v>517.64116500740943</v>
      </c>
      <c r="D132" s="4">
        <v>530.03800694815322</v>
      </c>
      <c r="E132" s="4">
        <v>517.23195773768612</v>
      </c>
      <c r="F132" s="4">
        <v>527.58258056640625</v>
      </c>
      <c r="G132" s="6">
        <v>21388600</v>
      </c>
      <c r="H132" s="8">
        <f t="shared" si="4"/>
        <v>2.1687557850212525E-2</v>
      </c>
      <c r="I132" s="8">
        <f t="shared" ref="I132:I195" si="5">I131*(1+H132)</f>
        <v>1.0205039054383345</v>
      </c>
    </row>
    <row r="133" spans="1:9" x14ac:dyDescent="0.35">
      <c r="A133" t="s">
        <v>8</v>
      </c>
      <c r="B133" s="1">
        <v>45937</v>
      </c>
      <c r="C133" s="4">
        <v>527.30304439843644</v>
      </c>
      <c r="D133" s="4">
        <v>528.81023321443217</v>
      </c>
      <c r="E133" s="4">
        <v>520.4658657072805</v>
      </c>
      <c r="F133" s="4">
        <v>523.0010986328125</v>
      </c>
      <c r="G133" s="6">
        <v>14615200</v>
      </c>
      <c r="H133" s="8">
        <f t="shared" si="4"/>
        <v>-8.6839143337051165E-3</v>
      </c>
      <c r="I133" s="8">
        <f t="shared" si="5"/>
        <v>1.0116419369462966</v>
      </c>
    </row>
    <row r="134" spans="1:9" x14ac:dyDescent="0.35">
      <c r="A134" t="s">
        <v>8</v>
      </c>
      <c r="B134" s="1">
        <v>45938</v>
      </c>
      <c r="C134" s="4">
        <v>522.30249335309998</v>
      </c>
      <c r="D134" s="4">
        <v>525.96562039258117</v>
      </c>
      <c r="E134" s="4">
        <v>522.1128458539913</v>
      </c>
      <c r="F134" s="4">
        <v>523.8695068359375</v>
      </c>
      <c r="G134" s="6">
        <v>13363400</v>
      </c>
      <c r="H134" s="8">
        <f t="shared" si="4"/>
        <v>1.6604328468814368E-3</v>
      </c>
      <c r="I134" s="8">
        <f t="shared" si="5"/>
        <v>1.0133217004476849</v>
      </c>
    </row>
    <row r="135" spans="1:9" x14ac:dyDescent="0.35">
      <c r="A135" t="s">
        <v>8</v>
      </c>
      <c r="B135" s="1">
        <v>45939</v>
      </c>
      <c r="C135" s="4">
        <v>521.36424782312451</v>
      </c>
      <c r="D135" s="4">
        <v>523.35052057339828</v>
      </c>
      <c r="E135" s="4">
        <v>516.43347375893279</v>
      </c>
      <c r="F135" s="4">
        <v>521.42413330078125</v>
      </c>
      <c r="G135" s="6">
        <v>18343600</v>
      </c>
      <c r="H135" s="8">
        <f t="shared" si="4"/>
        <v>-4.667905849160406E-3</v>
      </c>
      <c r="I135" s="8">
        <f t="shared" si="5"/>
        <v>1.008591610155084</v>
      </c>
    </row>
    <row r="136" spans="1:9" x14ac:dyDescent="0.35">
      <c r="A136" t="s">
        <v>8</v>
      </c>
      <c r="B136" s="1">
        <v>45940</v>
      </c>
      <c r="C136" s="4">
        <v>518.66927061294552</v>
      </c>
      <c r="D136" s="4">
        <v>522.60191270148835</v>
      </c>
      <c r="E136" s="4">
        <v>508.67796063371361</v>
      </c>
      <c r="F136" s="4">
        <v>510.00546264648438</v>
      </c>
      <c r="G136" s="6">
        <v>24133800</v>
      </c>
      <c r="H136" s="8">
        <f t="shared" si="4"/>
        <v>-2.1899006825811924E-2</v>
      </c>
      <c r="I136" s="8">
        <f t="shared" si="5"/>
        <v>0.98650445559984123</v>
      </c>
    </row>
    <row r="137" spans="1:9" x14ac:dyDescent="0.35">
      <c r="A137" t="s">
        <v>8</v>
      </c>
      <c r="B137" s="1">
        <v>45943</v>
      </c>
      <c r="C137" s="4">
        <v>515.44523716804815</v>
      </c>
      <c r="D137" s="4">
        <v>515.44523716804815</v>
      </c>
      <c r="E137" s="4">
        <v>510.72409305522382</v>
      </c>
      <c r="F137" s="4">
        <v>513.08966064453125</v>
      </c>
      <c r="G137" s="6">
        <v>14284200</v>
      </c>
      <c r="H137" s="8">
        <f t="shared" si="4"/>
        <v>6.0473822810496423E-3</v>
      </c>
      <c r="I137" s="8">
        <f t="shared" si="5"/>
        <v>0.9924702251648122</v>
      </c>
    </row>
    <row r="138" spans="1:9" x14ac:dyDescent="0.35">
      <c r="A138" t="s">
        <v>8</v>
      </c>
      <c r="B138" s="1">
        <v>45944</v>
      </c>
      <c r="C138" s="4">
        <v>509.2768388871209</v>
      </c>
      <c r="D138" s="4">
        <v>514.31742314547478</v>
      </c>
      <c r="E138" s="4">
        <v>505.05473007895688</v>
      </c>
      <c r="F138" s="4">
        <v>512.610595703125</v>
      </c>
      <c r="G138" s="6">
        <v>14684300</v>
      </c>
      <c r="H138" s="8">
        <f t="shared" si="4"/>
        <v>-9.3368660129393335E-4</v>
      </c>
      <c r="I138" s="8">
        <f t="shared" si="5"/>
        <v>0.99154356901339269</v>
      </c>
    </row>
    <row r="139" spans="1:9" x14ac:dyDescent="0.35">
      <c r="A139" t="s">
        <v>8</v>
      </c>
      <c r="B139" s="1">
        <v>45945</v>
      </c>
      <c r="C139" s="4">
        <v>513.99799615830227</v>
      </c>
      <c r="D139" s="4">
        <v>516.22381067496883</v>
      </c>
      <c r="E139" s="4">
        <v>509.04724028199121</v>
      </c>
      <c r="F139" s="4">
        <v>512.4708251953125</v>
      </c>
      <c r="G139" s="6">
        <v>14694700</v>
      </c>
      <c r="H139" s="8">
        <f t="shared" si="4"/>
        <v>-2.7266410211592107E-4</v>
      </c>
      <c r="I139" s="8">
        <f t="shared" si="5"/>
        <v>0.99127321067643881</v>
      </c>
    </row>
    <row r="140" spans="1:9" x14ac:dyDescent="0.35">
      <c r="A140" t="s">
        <v>8</v>
      </c>
      <c r="B140" s="1">
        <v>45946</v>
      </c>
      <c r="C140" s="4">
        <v>511.62245544117161</v>
      </c>
      <c r="D140" s="4">
        <v>515.88443713684205</v>
      </c>
      <c r="E140" s="4">
        <v>507.1807563967364</v>
      </c>
      <c r="F140" s="4">
        <v>510.65423583984381</v>
      </c>
      <c r="G140" s="6">
        <v>15559600</v>
      </c>
      <c r="H140" s="8">
        <f t="shared" si="4"/>
        <v>-3.5447663869964813E-3</v>
      </c>
      <c r="I140" s="8">
        <f t="shared" si="5"/>
        <v>0.98775937871890285</v>
      </c>
    </row>
    <row r="141" spans="1:9" x14ac:dyDescent="0.35">
      <c r="A141" t="s">
        <v>8</v>
      </c>
      <c r="B141" s="1">
        <v>45947</v>
      </c>
      <c r="C141" s="4">
        <v>508.08907805006532</v>
      </c>
      <c r="D141" s="4">
        <v>514.51701955273677</v>
      </c>
      <c r="E141" s="4">
        <v>506.36229887297759</v>
      </c>
      <c r="F141" s="4">
        <v>512.62060546875</v>
      </c>
      <c r="G141" s="6">
        <v>19867800</v>
      </c>
      <c r="H141" s="8">
        <f t="shared" si="4"/>
        <v>3.8506870028645066E-3</v>
      </c>
      <c r="I141" s="8">
        <f t="shared" si="5"/>
        <v>0.99156293092049319</v>
      </c>
    </row>
    <row r="142" spans="1:9" x14ac:dyDescent="0.35">
      <c r="A142" t="s">
        <v>8</v>
      </c>
      <c r="B142" s="1">
        <v>45950</v>
      </c>
      <c r="C142" s="4">
        <v>513.64860385775114</v>
      </c>
      <c r="D142" s="4">
        <v>517.73098982742295</v>
      </c>
      <c r="E142" s="4">
        <v>512.47081561475125</v>
      </c>
      <c r="F142" s="4">
        <v>515.82452392578125</v>
      </c>
      <c r="G142" s="6">
        <v>14665600</v>
      </c>
      <c r="H142" s="8">
        <f t="shared" si="4"/>
        <v>6.2500773922295342E-3</v>
      </c>
      <c r="I142" s="8">
        <f t="shared" si="5"/>
        <v>0.99776027597801231</v>
      </c>
    </row>
    <row r="143" spans="1:9" x14ac:dyDescent="0.35">
      <c r="A143" t="s">
        <v>8</v>
      </c>
      <c r="B143" s="1">
        <v>45951</v>
      </c>
      <c r="C143" s="4">
        <v>516.53325783033597</v>
      </c>
      <c r="D143" s="4">
        <v>517.72103722721647</v>
      </c>
      <c r="E143" s="4">
        <v>512.08156762834369</v>
      </c>
      <c r="F143" s="4">
        <v>516.69293212890625</v>
      </c>
      <c r="G143" s="6">
        <v>15586200</v>
      </c>
      <c r="H143" s="8">
        <f t="shared" si="4"/>
        <v>1.6835341532733131E-3</v>
      </c>
      <c r="I143" s="8">
        <f t="shared" si="5"/>
        <v>0.99944003947940063</v>
      </c>
    </row>
    <row r="144" spans="1:9" x14ac:dyDescent="0.35">
      <c r="A144" t="s">
        <v>8</v>
      </c>
      <c r="B144" s="1">
        <v>45952</v>
      </c>
      <c r="C144" s="4">
        <v>520.17647268713881</v>
      </c>
      <c r="D144" s="4">
        <v>524.24880704351153</v>
      </c>
      <c r="E144" s="4">
        <v>516.74289645730425</v>
      </c>
      <c r="F144" s="4">
        <v>519.56756591796875</v>
      </c>
      <c r="G144" s="6">
        <v>18962700</v>
      </c>
      <c r="H144" s="8">
        <f t="shared" si="4"/>
        <v>5.563524504231707E-3</v>
      </c>
      <c r="I144" s="8">
        <f t="shared" si="5"/>
        <v>1.0050004486295547</v>
      </c>
    </row>
    <row r="145" spans="1:9" x14ac:dyDescent="0.35">
      <c r="A145" t="s">
        <v>8</v>
      </c>
      <c r="B145" s="1">
        <v>45953</v>
      </c>
      <c r="C145" s="4">
        <v>521.48399933771987</v>
      </c>
      <c r="D145" s="4">
        <v>522.97120607836632</v>
      </c>
      <c r="E145" s="4">
        <v>517.64115508107409</v>
      </c>
      <c r="F145" s="4">
        <v>519.5875244140625</v>
      </c>
      <c r="G145" s="6">
        <v>14023500</v>
      </c>
      <c r="H145" s="8">
        <f t="shared" si="4"/>
        <v>3.8413668217505945E-5</v>
      </c>
      <c r="I145" s="8">
        <f t="shared" si="5"/>
        <v>1.0050390543833467</v>
      </c>
    </row>
    <row r="146" spans="1:9" x14ac:dyDescent="0.35">
      <c r="A146" t="s">
        <v>8</v>
      </c>
      <c r="B146" s="1">
        <v>45954</v>
      </c>
      <c r="C146" s="4">
        <v>521.81336045894147</v>
      </c>
      <c r="D146" s="4">
        <v>524.36857571738437</v>
      </c>
      <c r="E146" s="4">
        <v>519.73728994473845</v>
      </c>
      <c r="F146" s="4">
        <v>522.6318359375</v>
      </c>
      <c r="G146" s="6">
        <v>15532400</v>
      </c>
      <c r="H146" s="8">
        <f t="shared" si="4"/>
        <v>5.8590928003334226E-3</v>
      </c>
      <c r="I146" s="8">
        <f t="shared" si="5"/>
        <v>1.0109276714709381</v>
      </c>
    </row>
    <row r="147" spans="1:9" x14ac:dyDescent="0.35">
      <c r="A147" t="s">
        <v>8</v>
      </c>
      <c r="B147" s="1">
        <v>45957</v>
      </c>
      <c r="C147" s="4">
        <v>530.78662365693356</v>
      </c>
      <c r="D147" s="4">
        <v>533.58138085922178</v>
      </c>
      <c r="E147" s="4">
        <v>528.0217787333662</v>
      </c>
      <c r="F147" s="4">
        <v>530.527099609375</v>
      </c>
      <c r="G147" s="6">
        <v>18734700</v>
      </c>
      <c r="H147" s="8">
        <f t="shared" si="4"/>
        <v>1.5106740785724295E-2</v>
      </c>
      <c r="I147" s="8">
        <f t="shared" si="5"/>
        <v>1.0261994937569654</v>
      </c>
    </row>
    <row r="148" spans="1:9" x14ac:dyDescent="0.35">
      <c r="A148" t="s">
        <v>8</v>
      </c>
      <c r="B148" s="1">
        <v>45958</v>
      </c>
      <c r="C148" s="4">
        <v>548.97255180140235</v>
      </c>
      <c r="D148" s="4">
        <v>552.68557327325868</v>
      </c>
      <c r="E148" s="4">
        <v>539.75981374502635</v>
      </c>
      <c r="F148" s="4">
        <v>541.057373046875</v>
      </c>
      <c r="G148" s="6">
        <v>29986700</v>
      </c>
      <c r="H148" s="8">
        <f t="shared" si="4"/>
        <v>1.9848700368470147E-2</v>
      </c>
      <c r="I148" s="8">
        <f t="shared" si="5"/>
        <v>1.0465682200268231</v>
      </c>
    </row>
    <row r="149" spans="1:9" x14ac:dyDescent="0.35">
      <c r="A149" t="s">
        <v>8</v>
      </c>
      <c r="B149" s="1">
        <v>45959</v>
      </c>
      <c r="C149" s="4">
        <v>543.92201191417246</v>
      </c>
      <c r="D149" s="4">
        <v>545.2495444281135</v>
      </c>
      <c r="E149" s="4">
        <v>535.72732690440955</v>
      </c>
      <c r="F149" s="4">
        <v>540.538330078125</v>
      </c>
      <c r="G149" s="6">
        <v>36023000</v>
      </c>
      <c r="H149" s="8">
        <f t="shared" si="4"/>
        <v>-9.5931225523662213E-4</v>
      </c>
      <c r="I149" s="8">
        <f t="shared" si="5"/>
        <v>1.0455642343074103</v>
      </c>
    </row>
    <row r="150" spans="1:9" x14ac:dyDescent="0.35">
      <c r="A150" t="s">
        <v>8</v>
      </c>
      <c r="B150" s="1">
        <v>45960</v>
      </c>
      <c r="C150" s="4">
        <v>529.48898530808663</v>
      </c>
      <c r="D150" s="4">
        <v>533.97058774507525</v>
      </c>
      <c r="E150" s="4">
        <v>521.14461733197959</v>
      </c>
      <c r="F150" s="4">
        <v>524.77783203125</v>
      </c>
      <c r="G150" s="6">
        <v>41023100</v>
      </c>
      <c r="H150" s="8">
        <f t="shared" si="4"/>
        <v>-2.9157040620222265E-2</v>
      </c>
      <c r="I150" s="8">
        <f t="shared" si="5"/>
        <v>1.0150786754566574</v>
      </c>
    </row>
    <row r="151" spans="1:9" x14ac:dyDescent="0.35">
      <c r="A151" t="s">
        <v>8</v>
      </c>
      <c r="B151" s="1">
        <v>45961</v>
      </c>
      <c r="C151" s="4">
        <v>527.89197826909992</v>
      </c>
      <c r="D151" s="4">
        <v>528.33115872041742</v>
      </c>
      <c r="E151" s="4">
        <v>514.13769211917202</v>
      </c>
      <c r="F151" s="4">
        <v>516.8426513671875</v>
      </c>
      <c r="G151" s="6">
        <v>34006400</v>
      </c>
      <c r="H151" s="8">
        <f t="shared" si="4"/>
        <v>-1.5121028709135655E-2</v>
      </c>
      <c r="I151" s="8">
        <f t="shared" si="5"/>
        <v>0.9997296416630459</v>
      </c>
    </row>
    <row r="152" spans="1:9" x14ac:dyDescent="0.35">
      <c r="A152" t="s">
        <v>8</v>
      </c>
      <c r="B152" s="1">
        <v>45964</v>
      </c>
      <c r="C152" s="4">
        <v>518.83892285786521</v>
      </c>
      <c r="D152" s="4">
        <v>523.97932633650885</v>
      </c>
      <c r="E152" s="4">
        <v>513.62870375919601</v>
      </c>
      <c r="F152" s="4">
        <v>516.06414794921875</v>
      </c>
      <c r="G152" s="6">
        <v>22374700</v>
      </c>
      <c r="H152" s="8">
        <f t="shared" si="4"/>
        <v>-1.5062677507543148E-3</v>
      </c>
      <c r="I152" s="8">
        <f t="shared" si="5"/>
        <v>0.99822378114433563</v>
      </c>
    </row>
    <row r="153" spans="1:9" x14ac:dyDescent="0.35">
      <c r="A153" t="s">
        <v>8</v>
      </c>
      <c r="B153" s="1">
        <v>45965</v>
      </c>
      <c r="C153" s="4">
        <v>510.80399534425788</v>
      </c>
      <c r="D153" s="4">
        <v>514.58689334662586</v>
      </c>
      <c r="E153" s="4">
        <v>506.89130485949948</v>
      </c>
      <c r="F153" s="4">
        <v>513.36920166015625</v>
      </c>
      <c r="G153" s="6">
        <v>20958700</v>
      </c>
      <c r="H153" s="8">
        <f t="shared" si="4"/>
        <v>-5.2221149246114368E-3</v>
      </c>
      <c r="I153" s="8">
        <f t="shared" si="5"/>
        <v>0.99301094183871974</v>
      </c>
    </row>
    <row r="154" spans="1:9" x14ac:dyDescent="0.35">
      <c r="A154" t="s">
        <v>8</v>
      </c>
      <c r="B154" s="1">
        <v>45966</v>
      </c>
      <c r="C154" s="4">
        <v>512.34106867814819</v>
      </c>
      <c r="D154" s="4">
        <v>513.86823965752092</v>
      </c>
      <c r="E154" s="4">
        <v>505.63362139817252</v>
      </c>
      <c r="F154" s="4">
        <v>506.21255493164063</v>
      </c>
      <c r="G154" s="6">
        <v>23024300</v>
      </c>
      <c r="H154" s="8">
        <f t="shared" si="4"/>
        <v>-1.394054552819324E-2</v>
      </c>
      <c r="I154" s="8">
        <f t="shared" si="5"/>
        <v>0.97916782759402299</v>
      </c>
    </row>
    <row r="155" spans="1:9" x14ac:dyDescent="0.35">
      <c r="A155" t="s">
        <v>8</v>
      </c>
      <c r="B155" s="1">
        <v>45967</v>
      </c>
      <c r="C155" s="4">
        <v>504.71536252902882</v>
      </c>
      <c r="D155" s="4">
        <v>504.75529633258913</v>
      </c>
      <c r="E155" s="4">
        <v>494.88375756631751</v>
      </c>
      <c r="F155" s="4">
        <v>496.17135620117188</v>
      </c>
      <c r="G155" s="6">
        <v>27406500</v>
      </c>
      <c r="H155" s="8">
        <f t="shared" si="4"/>
        <v>-1.9835933804179792E-2</v>
      </c>
      <c r="I155" s="8">
        <f t="shared" si="5"/>
        <v>0.95974511938268536</v>
      </c>
    </row>
    <row r="156" spans="1:9" x14ac:dyDescent="0.35">
      <c r="A156" t="s">
        <v>8</v>
      </c>
      <c r="B156" s="1">
        <v>45968</v>
      </c>
      <c r="C156" s="4">
        <v>496.02163823572943</v>
      </c>
      <c r="D156" s="4">
        <v>498.44709133631147</v>
      </c>
      <c r="E156" s="4">
        <v>492.32853818272201</v>
      </c>
      <c r="F156" s="4">
        <v>495.89187622070313</v>
      </c>
      <c r="G156" s="6">
        <v>24019800</v>
      </c>
      <c r="H156" s="8">
        <f t="shared" si="4"/>
        <v>-5.6327310509926998E-4</v>
      </c>
      <c r="I156" s="8">
        <f t="shared" si="5"/>
        <v>0.95920452076918683</v>
      </c>
    </row>
    <row r="157" spans="1:9" x14ac:dyDescent="0.35">
      <c r="A157" t="s">
        <v>8</v>
      </c>
      <c r="B157" s="1">
        <v>45971</v>
      </c>
      <c r="C157" s="4">
        <v>499.10586069795028</v>
      </c>
      <c r="D157" s="4">
        <v>505.90313618541268</v>
      </c>
      <c r="E157" s="4">
        <v>497.86815648606569</v>
      </c>
      <c r="F157" s="4">
        <v>505.05471801757813</v>
      </c>
      <c r="G157" s="6">
        <v>26101500</v>
      </c>
      <c r="H157" s="8">
        <f t="shared" si="4"/>
        <v>1.8477499302281285E-2</v>
      </c>
      <c r="I157" s="8">
        <f t="shared" si="5"/>
        <v>0.97692822163244464</v>
      </c>
    </row>
    <row r="158" spans="1:9" x14ac:dyDescent="0.35">
      <c r="A158" t="s">
        <v>8</v>
      </c>
      <c r="B158" s="1">
        <v>45972</v>
      </c>
      <c r="C158" s="4">
        <v>503.85694933091571</v>
      </c>
      <c r="D158" s="4">
        <v>508.64800052182142</v>
      </c>
      <c r="E158" s="4">
        <v>501.41154455711302</v>
      </c>
      <c r="F158" s="4">
        <v>507.72970581054688</v>
      </c>
      <c r="G158" s="6">
        <v>17980000</v>
      </c>
      <c r="H158" s="8">
        <f t="shared" si="4"/>
        <v>5.2964316489676842E-3</v>
      </c>
      <c r="I158" s="8">
        <f t="shared" si="5"/>
        <v>0.98210245518426842</v>
      </c>
    </row>
    <row r="159" spans="1:9" x14ac:dyDescent="0.35">
      <c r="A159" t="s">
        <v>8</v>
      </c>
      <c r="B159" s="1">
        <v>45973</v>
      </c>
      <c r="C159" s="4">
        <v>508.40844613571358</v>
      </c>
      <c r="D159" s="4">
        <v>510.71415883107937</v>
      </c>
      <c r="E159" s="4">
        <v>498.18758530403642</v>
      </c>
      <c r="F159" s="4">
        <v>510.18515014648438</v>
      </c>
      <c r="G159" s="6">
        <v>26574900</v>
      </c>
      <c r="H159" s="8">
        <f t="shared" si="4"/>
        <v>4.8361250244706366E-3</v>
      </c>
      <c r="I159" s="8">
        <f t="shared" si="5"/>
        <v>0.98685202544437911</v>
      </c>
    </row>
    <row r="160" spans="1:9" x14ac:dyDescent="0.35">
      <c r="A160" t="s">
        <v>8</v>
      </c>
      <c r="B160" s="1">
        <v>45974</v>
      </c>
      <c r="C160" s="4">
        <v>509.35666717370731</v>
      </c>
      <c r="D160" s="4">
        <v>512.54071024479003</v>
      </c>
      <c r="E160" s="4">
        <v>500.3535287599438</v>
      </c>
      <c r="F160" s="4">
        <v>502.34979248046881</v>
      </c>
      <c r="G160" s="6">
        <v>25273100</v>
      </c>
      <c r="H160" s="8">
        <f t="shared" si="4"/>
        <v>-1.5357870890138374E-2</v>
      </c>
      <c r="I160" s="8">
        <f t="shared" si="5"/>
        <v>0.97169607944993275</v>
      </c>
    </row>
    <row r="161" spans="1:9" x14ac:dyDescent="0.35">
      <c r="A161" t="s">
        <v>8</v>
      </c>
      <c r="B161" s="1">
        <v>45975</v>
      </c>
      <c r="C161" s="4">
        <v>497.29924090270032</v>
      </c>
      <c r="D161" s="4">
        <v>510.64425881819602</v>
      </c>
      <c r="E161" s="4">
        <v>496.51070821491908</v>
      </c>
      <c r="F161" s="4">
        <v>509.22689819335938</v>
      </c>
      <c r="G161" s="6">
        <v>28505700</v>
      </c>
      <c r="H161" s="8">
        <f t="shared" si="4"/>
        <v>1.3689874696540157E-2</v>
      </c>
      <c r="I161" s="8">
        <f t="shared" si="5"/>
        <v>0.98499847702072163</v>
      </c>
    </row>
    <row r="162" spans="1:9" x14ac:dyDescent="0.35">
      <c r="A162" t="s">
        <v>8</v>
      </c>
      <c r="B162" s="1">
        <v>45978</v>
      </c>
      <c r="C162" s="4">
        <v>507.50015967573472</v>
      </c>
      <c r="D162" s="4">
        <v>511.16328656765262</v>
      </c>
      <c r="E162" s="4">
        <v>503.96676433957771</v>
      </c>
      <c r="F162" s="4">
        <v>506.54193115234381</v>
      </c>
      <c r="G162" s="6">
        <v>19092800</v>
      </c>
      <c r="H162" s="8">
        <f t="shared" si="4"/>
        <v>-5.2726339683573722E-3</v>
      </c>
      <c r="I162" s="8">
        <f t="shared" si="5"/>
        <v>0.97980494059200185</v>
      </c>
    </row>
    <row r="163" spans="1:9" x14ac:dyDescent="0.35">
      <c r="A163" t="s">
        <v>8</v>
      </c>
      <c r="B163" s="1">
        <v>45979</v>
      </c>
      <c r="C163" s="4">
        <v>494.44458869198832</v>
      </c>
      <c r="D163" s="4">
        <v>502.04038820234541</v>
      </c>
      <c r="E163" s="4">
        <v>485.87063942574491</v>
      </c>
      <c r="F163" s="4">
        <v>492.8675537109375</v>
      </c>
      <c r="G163" s="6">
        <v>33815100</v>
      </c>
      <c r="H163" s="8">
        <f t="shared" si="4"/>
        <v>-2.6995548838964139E-2</v>
      </c>
      <c r="I163" s="8">
        <f t="shared" si="5"/>
        <v>0.95335456846559208</v>
      </c>
    </row>
    <row r="164" spans="1:9" x14ac:dyDescent="0.35">
      <c r="A164" t="s">
        <v>8</v>
      </c>
      <c r="B164" s="1">
        <v>45980</v>
      </c>
      <c r="C164" s="4">
        <v>489.18443539234681</v>
      </c>
      <c r="D164" s="4">
        <v>494.264922953439</v>
      </c>
      <c r="E164" s="4">
        <v>481.92799720545412</v>
      </c>
      <c r="F164" s="4">
        <v>486.20999145507813</v>
      </c>
      <c r="G164" s="6">
        <v>23245300</v>
      </c>
      <c r="H164" s="8">
        <f t="shared" si="4"/>
        <v>-1.3507811998847822E-2</v>
      </c>
      <c r="I164" s="8">
        <f t="shared" si="5"/>
        <v>0.94047683418651606</v>
      </c>
    </row>
    <row r="165" spans="1:9" x14ac:dyDescent="0.35">
      <c r="A165" t="s">
        <v>8</v>
      </c>
      <c r="B165" s="1">
        <v>45981</v>
      </c>
      <c r="C165" s="4">
        <v>492.70999145507813</v>
      </c>
      <c r="D165" s="4">
        <v>493.57000732421881</v>
      </c>
      <c r="E165" s="4">
        <v>475.5</v>
      </c>
      <c r="F165" s="4">
        <v>478.42999267578119</v>
      </c>
      <c r="G165" s="6">
        <v>26802500</v>
      </c>
      <c r="H165" s="8">
        <f t="shared" si="4"/>
        <v>-1.600131407422083E-2</v>
      </c>
      <c r="I165" s="8">
        <f t="shared" si="5"/>
        <v>0.9254279689831687</v>
      </c>
    </row>
    <row r="166" spans="1:9" x14ac:dyDescent="0.35">
      <c r="A166" t="s">
        <v>8</v>
      </c>
      <c r="B166" s="1">
        <v>45982</v>
      </c>
      <c r="C166" s="4">
        <v>478.5</v>
      </c>
      <c r="D166" s="4">
        <v>478.92001342773438</v>
      </c>
      <c r="E166" s="4">
        <v>468.26998901367188</v>
      </c>
      <c r="F166" s="4">
        <v>472.1199951171875</v>
      </c>
      <c r="G166" s="6">
        <v>31769200</v>
      </c>
      <c r="H166" s="8">
        <f t="shared" si="4"/>
        <v>-1.3188967362399048E-2</v>
      </c>
      <c r="I166" s="8">
        <f t="shared" si="5"/>
        <v>0.91322252970399842</v>
      </c>
    </row>
    <row r="167" spans="1:9" x14ac:dyDescent="0.35">
      <c r="A167" t="s">
        <v>8</v>
      </c>
      <c r="B167" s="1">
        <v>45985</v>
      </c>
      <c r="C167" s="4">
        <v>475</v>
      </c>
      <c r="D167" s="4">
        <v>476.89999389648438</v>
      </c>
      <c r="E167" s="4">
        <v>468.01998901367188</v>
      </c>
      <c r="F167" s="4">
        <v>474</v>
      </c>
      <c r="G167" s="6">
        <v>34421000</v>
      </c>
      <c r="H167" s="8">
        <f t="shared" si="4"/>
        <v>3.9820488482930141E-3</v>
      </c>
      <c r="I167" s="8">
        <f t="shared" si="5"/>
        <v>0.91685902642664152</v>
      </c>
    </row>
    <row r="168" spans="1:9" x14ac:dyDescent="0.35">
      <c r="A168" t="s">
        <v>8</v>
      </c>
      <c r="B168" s="1">
        <v>45986</v>
      </c>
      <c r="C168" s="4">
        <v>474.07000732421881</v>
      </c>
      <c r="D168" s="4">
        <v>479.14999389648438</v>
      </c>
      <c r="E168" s="4">
        <v>464.8900146484375</v>
      </c>
      <c r="F168" s="4">
        <v>476.989990234375</v>
      </c>
      <c r="G168" s="6">
        <v>28019800</v>
      </c>
      <c r="H168" s="8">
        <f t="shared" si="4"/>
        <v>6.3079962750527425E-3</v>
      </c>
      <c r="I168" s="8">
        <f t="shared" si="5"/>
        <v>0.92264256975008929</v>
      </c>
    </row>
    <row r="169" spans="1:9" x14ac:dyDescent="0.35">
      <c r="A169" t="s">
        <v>8</v>
      </c>
      <c r="B169" s="1">
        <v>45987</v>
      </c>
      <c r="C169" s="4">
        <v>486.30999755859381</v>
      </c>
      <c r="D169" s="4">
        <v>488.30999755859381</v>
      </c>
      <c r="E169" s="4">
        <v>481.20001220703119</v>
      </c>
      <c r="F169" s="4">
        <v>485.5</v>
      </c>
      <c r="G169" s="6">
        <v>25709100</v>
      </c>
      <c r="H169" s="8">
        <f t="shared" si="4"/>
        <v>1.7841065724342558E-2</v>
      </c>
      <c r="I169" s="8">
        <f t="shared" si="5"/>
        <v>0.93910349647707703</v>
      </c>
    </row>
    <row r="170" spans="1:9" x14ac:dyDescent="0.35">
      <c r="A170" t="s">
        <v>8</v>
      </c>
      <c r="B170" s="1">
        <v>45989</v>
      </c>
      <c r="C170" s="4">
        <v>487.60000610351563</v>
      </c>
      <c r="D170" s="4">
        <v>492.6300048828125</v>
      </c>
      <c r="E170" s="4">
        <v>486.64999389648438</v>
      </c>
      <c r="F170" s="4">
        <v>492.010009765625</v>
      </c>
      <c r="G170" s="6">
        <v>14386700</v>
      </c>
      <c r="H170" s="8">
        <f t="shared" si="4"/>
        <v>1.3408876963182286E-2</v>
      </c>
      <c r="I170" s="8">
        <f t="shared" si="5"/>
        <v>0.95169581971703254</v>
      </c>
    </row>
    <row r="171" spans="1:9" x14ac:dyDescent="0.35">
      <c r="A171" t="s">
        <v>8</v>
      </c>
      <c r="B171" s="1">
        <v>45992</v>
      </c>
      <c r="C171" s="4">
        <v>488.44000244140619</v>
      </c>
      <c r="D171" s="4">
        <v>489.8599853515625</v>
      </c>
      <c r="E171" s="4">
        <v>484.64999389648438</v>
      </c>
      <c r="F171" s="4">
        <v>486.739990234375</v>
      </c>
      <c r="G171" s="6">
        <v>23964000</v>
      </c>
      <c r="H171" s="8">
        <f t="shared" si="4"/>
        <v>-1.0711203891482692E-2</v>
      </c>
      <c r="I171" s="8">
        <f t="shared" si="5"/>
        <v>0.94150201174937165</v>
      </c>
    </row>
    <row r="172" spans="1:9" x14ac:dyDescent="0.35">
      <c r="A172" t="s">
        <v>8</v>
      </c>
      <c r="B172" s="1">
        <v>45993</v>
      </c>
      <c r="C172" s="4">
        <v>486.72000122070313</v>
      </c>
      <c r="D172" s="4">
        <v>493.5</v>
      </c>
      <c r="E172" s="4">
        <v>486.32000732421881</v>
      </c>
      <c r="F172" s="4">
        <v>490</v>
      </c>
      <c r="G172" s="6">
        <v>19562700</v>
      </c>
      <c r="H172" s="8">
        <f t="shared" si="4"/>
        <v>6.6976411041452348E-3</v>
      </c>
      <c r="I172" s="8">
        <f t="shared" si="5"/>
        <v>0.94780785432289971</v>
      </c>
    </row>
    <row r="173" spans="1:9" x14ac:dyDescent="0.35">
      <c r="A173" t="s">
        <v>8</v>
      </c>
      <c r="B173" s="1">
        <v>45994</v>
      </c>
      <c r="C173" s="4">
        <v>476.32000732421881</v>
      </c>
      <c r="D173" s="4">
        <v>484.239990234375</v>
      </c>
      <c r="E173" s="4">
        <v>475.20001220703119</v>
      </c>
      <c r="F173" s="4">
        <v>477.73001098632813</v>
      </c>
      <c r="G173" s="6">
        <v>34615100</v>
      </c>
      <c r="H173" s="8">
        <f t="shared" si="4"/>
        <v>-2.5040793905452805E-2</v>
      </c>
      <c r="I173" s="8">
        <f t="shared" si="5"/>
        <v>0.92407399318083061</v>
      </c>
    </row>
    <row r="174" spans="1:9" x14ac:dyDescent="0.35">
      <c r="A174" t="s">
        <v>8</v>
      </c>
      <c r="B174" s="1">
        <v>45995</v>
      </c>
      <c r="C174" s="4">
        <v>479.760009765625</v>
      </c>
      <c r="D174" s="4">
        <v>481.32000732421881</v>
      </c>
      <c r="E174" s="4">
        <v>476.489990234375</v>
      </c>
      <c r="F174" s="4">
        <v>480.83999633789063</v>
      </c>
      <c r="G174" s="6">
        <v>22318200</v>
      </c>
      <c r="H174" s="8">
        <f t="shared" si="4"/>
        <v>6.5099225086185817E-3</v>
      </c>
      <c r="I174" s="8">
        <f t="shared" si="5"/>
        <v>0.9300896432686675</v>
      </c>
    </row>
    <row r="175" spans="1:9" x14ac:dyDescent="0.35">
      <c r="A175" t="s">
        <v>8</v>
      </c>
      <c r="B175" s="1">
        <v>45996</v>
      </c>
      <c r="C175" s="4">
        <v>482.51998901367188</v>
      </c>
      <c r="D175" s="4">
        <v>483.39999389648438</v>
      </c>
      <c r="E175" s="4">
        <v>478.8800048828125</v>
      </c>
      <c r="F175" s="4">
        <v>483.16000366210938</v>
      </c>
      <c r="G175" s="6">
        <v>22608700</v>
      </c>
      <c r="H175" s="8">
        <f t="shared" si="4"/>
        <v>4.8249050451045668E-3</v>
      </c>
      <c r="I175" s="8">
        <f t="shared" si="5"/>
        <v>0.93457723748087396</v>
      </c>
    </row>
    <row r="176" spans="1:9" x14ac:dyDescent="0.35">
      <c r="A176" t="s">
        <v>8</v>
      </c>
      <c r="B176" s="1">
        <v>45999</v>
      </c>
      <c r="C176" s="4">
        <v>484.8900146484375</v>
      </c>
      <c r="D176" s="4">
        <v>492.29998779296881</v>
      </c>
      <c r="E176" s="4">
        <v>484.3800048828125</v>
      </c>
      <c r="F176" s="4">
        <v>491.01998901367188</v>
      </c>
      <c r="G176" s="6">
        <v>21965900</v>
      </c>
      <c r="H176" s="8">
        <f t="shared" si="4"/>
        <v>1.6267872530813337E-2</v>
      </c>
      <c r="I176" s="8">
        <f t="shared" si="5"/>
        <v>0.9497808208504126</v>
      </c>
    </row>
    <row r="177" spans="1:9" x14ac:dyDescent="0.35">
      <c r="A177" t="s">
        <v>8</v>
      </c>
      <c r="B177" s="1">
        <v>46000</v>
      </c>
      <c r="C177" s="4">
        <v>489.10000610351563</v>
      </c>
      <c r="D177" s="4">
        <v>492.1199951171875</v>
      </c>
      <c r="E177" s="4">
        <v>488.5</v>
      </c>
      <c r="F177" s="4">
        <v>492.01998901367188</v>
      </c>
      <c r="G177" s="6">
        <v>14696100</v>
      </c>
      <c r="H177" s="8">
        <f t="shared" si="4"/>
        <v>2.0365769670777213E-3</v>
      </c>
      <c r="I177" s="8">
        <f t="shared" si="5"/>
        <v>0.95171512259392876</v>
      </c>
    </row>
    <row r="178" spans="1:9" x14ac:dyDescent="0.35">
      <c r="A178" t="s">
        <v>8</v>
      </c>
      <c r="B178" s="1">
        <v>46001</v>
      </c>
      <c r="C178" s="4">
        <v>484.02999877929688</v>
      </c>
      <c r="D178" s="4">
        <v>484.25</v>
      </c>
      <c r="E178" s="4">
        <v>475.07998657226563</v>
      </c>
      <c r="F178" s="4">
        <v>478.55999755859381</v>
      </c>
      <c r="G178" s="6">
        <v>35756200</v>
      </c>
      <c r="H178" s="8">
        <f t="shared" si="4"/>
        <v>-2.7356594763681547E-2</v>
      </c>
      <c r="I178" s="8">
        <f t="shared" si="5"/>
        <v>0.9256794376546591</v>
      </c>
    </row>
    <row r="179" spans="1:9" x14ac:dyDescent="0.35">
      <c r="A179" t="s">
        <v>8</v>
      </c>
      <c r="B179" s="1">
        <v>46002</v>
      </c>
      <c r="C179" s="4">
        <v>476.6300048828125</v>
      </c>
      <c r="D179" s="4">
        <v>486.02999877929688</v>
      </c>
      <c r="E179" s="4">
        <v>475.8599853515625</v>
      </c>
      <c r="F179" s="4">
        <v>483.47000122070313</v>
      </c>
      <c r="G179" s="6">
        <v>24669200</v>
      </c>
      <c r="H179" s="8">
        <f t="shared" si="4"/>
        <v>1.025995421087854E-2</v>
      </c>
      <c r="I179" s="8">
        <f t="shared" si="5"/>
        <v>0.9351768662989477</v>
      </c>
    </row>
    <row r="180" spans="1:9" x14ac:dyDescent="0.35">
      <c r="A180" t="s">
        <v>8</v>
      </c>
      <c r="B180" s="1">
        <v>46003</v>
      </c>
      <c r="C180" s="4">
        <v>479.82000732421881</v>
      </c>
      <c r="D180" s="4">
        <v>482.45001220703119</v>
      </c>
      <c r="E180" s="4">
        <v>476.33999633789063</v>
      </c>
      <c r="F180" s="4">
        <v>478.52999877929688</v>
      </c>
      <c r="G180" s="6">
        <v>21248100</v>
      </c>
      <c r="H180" s="8">
        <f t="shared" si="4"/>
        <v>-1.0217805507959837E-2</v>
      </c>
      <c r="I180" s="8">
        <f t="shared" si="5"/>
        <v>0.92562141096356176</v>
      </c>
    </row>
    <row r="181" spans="1:9" x14ac:dyDescent="0.35">
      <c r="A181" t="s">
        <v>8</v>
      </c>
      <c r="B181" s="1">
        <v>46006</v>
      </c>
      <c r="C181" s="4">
        <v>480.10000610351563</v>
      </c>
      <c r="D181" s="4">
        <v>480.72000122070313</v>
      </c>
      <c r="E181" s="4">
        <v>472.51998901367188</v>
      </c>
      <c r="F181" s="4">
        <v>474.82000732421881</v>
      </c>
      <c r="G181" s="6">
        <v>23727700</v>
      </c>
      <c r="H181" s="8">
        <f t="shared" si="4"/>
        <v>-7.7528921165695942E-3</v>
      </c>
      <c r="I181" s="8">
        <f t="shared" si="5"/>
        <v>0.91844516802357434</v>
      </c>
    </row>
    <row r="182" spans="1:9" x14ac:dyDescent="0.35">
      <c r="A182" t="s">
        <v>8</v>
      </c>
      <c r="B182" s="1">
        <v>46007</v>
      </c>
      <c r="C182" s="4">
        <v>471.91000366210938</v>
      </c>
      <c r="D182" s="4">
        <v>477.8900146484375</v>
      </c>
      <c r="E182" s="4">
        <v>470.8800048828125</v>
      </c>
      <c r="F182" s="4">
        <v>476.3900146484375</v>
      </c>
      <c r="G182" s="6">
        <v>20705600</v>
      </c>
      <c r="H182" s="8">
        <f t="shared" si="4"/>
        <v>3.3065315277387912E-3</v>
      </c>
      <c r="I182" s="8">
        <f t="shared" si="5"/>
        <v>0.92148203592814359</v>
      </c>
    </row>
    <row r="183" spans="1:9" x14ac:dyDescent="0.35">
      <c r="A183" t="s">
        <v>8</v>
      </c>
      <c r="B183" s="1">
        <v>46008</v>
      </c>
      <c r="C183" s="4">
        <v>476.91000366210938</v>
      </c>
      <c r="D183" s="4">
        <v>480</v>
      </c>
      <c r="E183" s="4">
        <v>475</v>
      </c>
      <c r="F183" s="4">
        <v>476.1199951171875</v>
      </c>
      <c r="G183" s="6">
        <v>24527200</v>
      </c>
      <c r="H183" s="8">
        <f t="shared" si="4"/>
        <v>-5.6680350751949925E-4</v>
      </c>
      <c r="I183" s="8">
        <f t="shared" si="5"/>
        <v>0.9209597366780633</v>
      </c>
    </row>
    <row r="184" spans="1:9" x14ac:dyDescent="0.35">
      <c r="A184" t="s">
        <v>8</v>
      </c>
      <c r="B184" s="1">
        <v>46009</v>
      </c>
      <c r="C184" s="4">
        <v>478.19000244140619</v>
      </c>
      <c r="D184" s="4">
        <v>489.60000610351563</v>
      </c>
      <c r="E184" s="4">
        <v>477.8900146484375</v>
      </c>
      <c r="F184" s="4">
        <v>483.98001098632813</v>
      </c>
      <c r="G184" s="6">
        <v>28573500</v>
      </c>
      <c r="H184" s="8">
        <f t="shared" si="4"/>
        <v>1.6508476749030544E-2</v>
      </c>
      <c r="I184" s="8">
        <f t="shared" si="5"/>
        <v>0.93616337907780633</v>
      </c>
    </row>
    <row r="185" spans="1:9" x14ac:dyDescent="0.35">
      <c r="A185" t="s">
        <v>8</v>
      </c>
      <c r="B185" s="1">
        <v>46010</v>
      </c>
      <c r="C185" s="4">
        <v>487.3599853515625</v>
      </c>
      <c r="D185" s="4">
        <v>487.85000610351563</v>
      </c>
      <c r="E185" s="4">
        <v>482.489990234375</v>
      </c>
      <c r="F185" s="4">
        <v>485.92001342773438</v>
      </c>
      <c r="G185" s="6">
        <v>70836100</v>
      </c>
      <c r="H185" s="8">
        <f t="shared" si="4"/>
        <v>4.0084350538622821E-3</v>
      </c>
      <c r="I185" s="8">
        <f t="shared" si="5"/>
        <v>0.93991592918264399</v>
      </c>
    </row>
    <row r="186" spans="1:9" x14ac:dyDescent="0.35">
      <c r="A186" t="s">
        <v>8</v>
      </c>
      <c r="B186" s="1">
        <v>46013</v>
      </c>
      <c r="C186" s="4">
        <v>486.1199951171875</v>
      </c>
      <c r="D186" s="4">
        <v>488.73001098632813</v>
      </c>
      <c r="E186" s="4">
        <v>482.69000244140619</v>
      </c>
      <c r="F186" s="4">
        <v>484.92001342773438</v>
      </c>
      <c r="G186" s="6">
        <v>16963000</v>
      </c>
      <c r="H186" s="8">
        <f t="shared" si="4"/>
        <v>-2.0579518693743188E-3</v>
      </c>
      <c r="I186" s="8">
        <f t="shared" si="5"/>
        <v>0.93798162743912794</v>
      </c>
    </row>
    <row r="187" spans="1:9" x14ac:dyDescent="0.35">
      <c r="A187" t="s">
        <v>8</v>
      </c>
      <c r="B187" s="1">
        <v>46014</v>
      </c>
      <c r="C187" s="4">
        <v>484.98001098632813</v>
      </c>
      <c r="D187" s="4">
        <v>487.82998657226563</v>
      </c>
      <c r="E187" s="4">
        <v>484.739990234375</v>
      </c>
      <c r="F187" s="4">
        <v>486.85000610351563</v>
      </c>
      <c r="G187" s="6">
        <v>14683600</v>
      </c>
      <c r="H187" s="8">
        <f t="shared" si="4"/>
        <v>3.9800227302205764E-3</v>
      </c>
      <c r="I187" s="8">
        <f t="shared" si="5"/>
        <v>0.94171481563686488</v>
      </c>
    </row>
    <row r="188" spans="1:9" x14ac:dyDescent="0.35">
      <c r="A188" t="s">
        <v>8</v>
      </c>
      <c r="B188" s="1">
        <v>46015</v>
      </c>
      <c r="C188" s="4">
        <v>485.67999267578119</v>
      </c>
      <c r="D188" s="4">
        <v>489.16000366210938</v>
      </c>
      <c r="E188" s="4">
        <v>484.82998657226563</v>
      </c>
      <c r="F188" s="4">
        <v>488.01998901367188</v>
      </c>
      <c r="G188" s="6">
        <v>5855900</v>
      </c>
      <c r="H188" s="8">
        <f t="shared" si="4"/>
        <v>2.4031691393416239E-3</v>
      </c>
      <c r="I188" s="8">
        <f t="shared" si="5"/>
        <v>0.94397791561986411</v>
      </c>
    </row>
    <row r="189" spans="1:9" x14ac:dyDescent="0.35">
      <c r="A189" t="s">
        <v>8</v>
      </c>
      <c r="B189" s="1">
        <v>46017</v>
      </c>
      <c r="C189" s="4">
        <v>486.70999145507813</v>
      </c>
      <c r="D189" s="4">
        <v>488.1199951171875</v>
      </c>
      <c r="E189" s="4">
        <v>485.95999145507813</v>
      </c>
      <c r="F189" s="4">
        <v>487.70999145507813</v>
      </c>
      <c r="G189" s="6">
        <v>8842200</v>
      </c>
      <c r="H189" s="8">
        <f t="shared" si="4"/>
        <v>-6.3521487966154895E-4</v>
      </c>
      <c r="I189" s="8">
        <f t="shared" si="5"/>
        <v>0.94337828680179048</v>
      </c>
    </row>
    <row r="190" spans="1:9" x14ac:dyDescent="0.35">
      <c r="A190" t="s">
        <v>8</v>
      </c>
      <c r="B190" s="1">
        <v>46020</v>
      </c>
      <c r="C190" s="4">
        <v>484.8599853515625</v>
      </c>
      <c r="D190" s="4">
        <v>488.35000610351563</v>
      </c>
      <c r="E190" s="4">
        <v>484.17999267578119</v>
      </c>
      <c r="F190" s="4">
        <v>487.10000610351563</v>
      </c>
      <c r="G190" s="6">
        <v>10879100</v>
      </c>
      <c r="H190" s="8">
        <f t="shared" si="4"/>
        <v>-1.2507132563403397E-3</v>
      </c>
      <c r="I190" s="8">
        <f t="shared" si="5"/>
        <v>0.94219839107274383</v>
      </c>
    </row>
    <row r="191" spans="1:9" x14ac:dyDescent="0.35">
      <c r="A191" t="s">
        <v>10</v>
      </c>
      <c r="B191" s="1">
        <v>45930</v>
      </c>
      <c r="C191" s="4">
        <v>120.640998840332</v>
      </c>
      <c r="D191" s="4">
        <v>120.84999847412109</v>
      </c>
      <c r="E191" s="4">
        <v>117.8000030517578</v>
      </c>
      <c r="F191" s="4">
        <v>119.8919982910156</v>
      </c>
      <c r="G191" s="6">
        <v>38303000</v>
      </c>
      <c r="H191" s="8" t="str">
        <f t="shared" si="4"/>
        <v/>
      </c>
      <c r="I191" s="8">
        <v>1</v>
      </c>
    </row>
    <row r="192" spans="1:9" x14ac:dyDescent="0.35">
      <c r="A192" t="s">
        <v>10</v>
      </c>
      <c r="B192" s="1">
        <v>45931</v>
      </c>
      <c r="C192" s="4">
        <v>117.5490036010742</v>
      </c>
      <c r="D192" s="4">
        <v>117.91400146484381</v>
      </c>
      <c r="E192" s="4">
        <v>116.3209991455078</v>
      </c>
      <c r="F192" s="4">
        <v>117.0899963378906</v>
      </c>
      <c r="G192" s="6">
        <v>41102000</v>
      </c>
      <c r="H192" s="8">
        <f t="shared" si="4"/>
        <v>-2.3371050554380282E-2</v>
      </c>
      <c r="I192" s="8">
        <f t="shared" si="5"/>
        <v>0.97662894944561973</v>
      </c>
    </row>
    <row r="193" spans="1:9" x14ac:dyDescent="0.35">
      <c r="A193" t="s">
        <v>10</v>
      </c>
      <c r="B193" s="1">
        <v>45932</v>
      </c>
      <c r="C193" s="4">
        <v>116.15000152587891</v>
      </c>
      <c r="D193" s="4">
        <v>116.3330001831055</v>
      </c>
      <c r="E193" s="4">
        <v>113.40000152587891</v>
      </c>
      <c r="F193" s="4">
        <v>116.2529983520508</v>
      </c>
      <c r="G193" s="6">
        <v>46855000</v>
      </c>
      <c r="H193" s="8">
        <f t="shared" si="4"/>
        <v>-7.1483304468167161E-3</v>
      </c>
      <c r="I193" s="8">
        <f t="shared" si="5"/>
        <v>0.96964768299105497</v>
      </c>
    </row>
    <row r="194" spans="1:9" x14ac:dyDescent="0.35">
      <c r="A194" t="s">
        <v>10</v>
      </c>
      <c r="B194" s="1">
        <v>45933</v>
      </c>
      <c r="C194" s="4">
        <v>116.5</v>
      </c>
      <c r="D194" s="4">
        <v>116.8000030517578</v>
      </c>
      <c r="E194" s="4">
        <v>114.32199859619141</v>
      </c>
      <c r="F194" s="4">
        <v>115.3320007324219</v>
      </c>
      <c r="G194" s="6">
        <v>31374000</v>
      </c>
      <c r="H194" s="8">
        <f t="shared" ref="H194:H253" si="6">IF(A194=A193,(F194-F193)/F193,"")</f>
        <v>-7.922355833264793E-3</v>
      </c>
      <c r="I194" s="8">
        <f t="shared" si="5"/>
        <v>0.96196578901349905</v>
      </c>
    </row>
    <row r="195" spans="1:9" x14ac:dyDescent="0.35">
      <c r="A195" t="s">
        <v>10</v>
      </c>
      <c r="B195" s="1">
        <v>45936</v>
      </c>
      <c r="C195" s="4">
        <v>116.03700256347661</v>
      </c>
      <c r="D195" s="4">
        <v>116.3580017089844</v>
      </c>
      <c r="E195" s="4">
        <v>114.5449981689453</v>
      </c>
      <c r="F195" s="4">
        <v>116.3310012817383</v>
      </c>
      <c r="G195" s="6">
        <v>29686000</v>
      </c>
      <c r="H195" s="8">
        <f t="shared" si="6"/>
        <v>8.6619545570369612E-3</v>
      </c>
      <c r="I195" s="8">
        <f t="shared" si="5"/>
        <v>0.97029829296335823</v>
      </c>
    </row>
    <row r="196" spans="1:9" x14ac:dyDescent="0.35">
      <c r="A196" t="s">
        <v>10</v>
      </c>
      <c r="B196" s="1">
        <v>45937</v>
      </c>
      <c r="C196" s="4">
        <v>117.7789993286133</v>
      </c>
      <c r="D196" s="4">
        <v>120.1370010375977</v>
      </c>
      <c r="E196" s="4">
        <v>117.7460021972656</v>
      </c>
      <c r="F196" s="4">
        <v>119.1060028076172</v>
      </c>
      <c r="G196" s="6">
        <v>33091000</v>
      </c>
      <c r="H196" s="8">
        <f t="shared" si="6"/>
        <v>2.3854359502659309E-2</v>
      </c>
      <c r="I196" s="8">
        <f t="shared" ref="I196:I253" si="7">I195*(1+H196)</f>
        <v>0.99344413726852276</v>
      </c>
    </row>
    <row r="197" spans="1:9" x14ac:dyDescent="0.35">
      <c r="A197" t="s">
        <v>10</v>
      </c>
      <c r="B197" s="1">
        <v>45938</v>
      </c>
      <c r="C197" s="4">
        <v>119.71099853515619</v>
      </c>
      <c r="D197" s="4">
        <v>121.73899841308589</v>
      </c>
      <c r="E197" s="4">
        <v>119.1999969482422</v>
      </c>
      <c r="F197" s="4">
        <v>121.4250030517578</v>
      </c>
      <c r="G197" s="6">
        <v>28514000</v>
      </c>
      <c r="H197" s="8">
        <f t="shared" si="6"/>
        <v>1.9470053477374266E-2</v>
      </c>
      <c r="I197" s="8">
        <f t="shared" si="7"/>
        <v>1.0127865477479248</v>
      </c>
    </row>
    <row r="198" spans="1:9" x14ac:dyDescent="0.35">
      <c r="A198" t="s">
        <v>10</v>
      </c>
      <c r="B198" s="1">
        <v>45939</v>
      </c>
      <c r="C198" s="4">
        <v>121.4250030517578</v>
      </c>
      <c r="D198" s="4">
        <v>123.75</v>
      </c>
      <c r="E198" s="4">
        <v>121.181999206543</v>
      </c>
      <c r="F198" s="4">
        <v>123.1070022583008</v>
      </c>
      <c r="G198" s="6">
        <v>28241000</v>
      </c>
      <c r="H198" s="8">
        <f t="shared" si="6"/>
        <v>1.3852165240020951E-2</v>
      </c>
      <c r="I198" s="8">
        <f t="shared" si="7"/>
        <v>1.0268158343601994</v>
      </c>
    </row>
    <row r="199" spans="1:9" x14ac:dyDescent="0.35">
      <c r="A199" t="s">
        <v>10</v>
      </c>
      <c r="B199" s="1">
        <v>45940</v>
      </c>
      <c r="C199" s="4">
        <v>122.90000152587891</v>
      </c>
      <c r="D199" s="4">
        <v>124.6999969482422</v>
      </c>
      <c r="E199" s="4">
        <v>121.9100036621094</v>
      </c>
      <c r="F199" s="4">
        <v>122.0080032348633</v>
      </c>
      <c r="G199" s="6">
        <v>42798000</v>
      </c>
      <c r="H199" s="8">
        <f t="shared" si="6"/>
        <v>-8.9271853207147471E-3</v>
      </c>
      <c r="I199" s="8">
        <f t="shared" si="7"/>
        <v>1.0176492591166215</v>
      </c>
    </row>
    <row r="200" spans="1:9" x14ac:dyDescent="0.35">
      <c r="A200" t="s">
        <v>10</v>
      </c>
      <c r="B200" s="1">
        <v>45943</v>
      </c>
      <c r="C200" s="4">
        <v>122.1350021362305</v>
      </c>
      <c r="D200" s="4">
        <v>123.11199951171881</v>
      </c>
      <c r="E200" s="4">
        <v>120.6809997558594</v>
      </c>
      <c r="F200" s="4">
        <v>121.9029998779297</v>
      </c>
      <c r="G200" s="6">
        <v>24608000</v>
      </c>
      <c r="H200" s="8">
        <f t="shared" si="6"/>
        <v>-8.6062679619028023E-4</v>
      </c>
      <c r="I200" s="8">
        <f t="shared" si="7"/>
        <v>1.0167734428951025</v>
      </c>
    </row>
    <row r="201" spans="1:9" x14ac:dyDescent="0.35">
      <c r="A201" t="s">
        <v>10</v>
      </c>
      <c r="B201" s="1">
        <v>45944</v>
      </c>
      <c r="C201" s="4">
        <v>121.47499847412109</v>
      </c>
      <c r="D201" s="4">
        <v>122.4290008544922</v>
      </c>
      <c r="E201" s="4">
        <v>120.30999755859381</v>
      </c>
      <c r="F201" s="4">
        <v>121.5350036621094</v>
      </c>
      <c r="G201" s="6">
        <v>23624000</v>
      </c>
      <c r="H201" s="8">
        <f t="shared" si="6"/>
        <v>-3.0187625914768262E-3</v>
      </c>
      <c r="I201" s="8">
        <f t="shared" si="7"/>
        <v>1.0137040452616837</v>
      </c>
    </row>
    <row r="202" spans="1:9" x14ac:dyDescent="0.35">
      <c r="A202" t="s">
        <v>10</v>
      </c>
      <c r="B202" s="1">
        <v>45945</v>
      </c>
      <c r="C202" s="4">
        <v>121.30100250244141</v>
      </c>
      <c r="D202" s="4">
        <v>121.9619979858398</v>
      </c>
      <c r="E202" s="4">
        <v>120.161003112793</v>
      </c>
      <c r="F202" s="4">
        <v>120.32900238037109</v>
      </c>
      <c r="G202" s="6">
        <v>20252000</v>
      </c>
      <c r="H202" s="8">
        <f t="shared" si="6"/>
        <v>-9.9230776763805789E-3</v>
      </c>
      <c r="I202" s="8">
        <f t="shared" si="7"/>
        <v>1.0036449812796908</v>
      </c>
    </row>
    <row r="203" spans="1:9" x14ac:dyDescent="0.35">
      <c r="A203" t="s">
        <v>10</v>
      </c>
      <c r="B203" s="1">
        <v>45946</v>
      </c>
      <c r="C203" s="4">
        <v>121.2149963378906</v>
      </c>
      <c r="D203" s="4">
        <v>121.67099761962891</v>
      </c>
      <c r="E203" s="4">
        <v>117.59999847412109</v>
      </c>
      <c r="F203" s="4">
        <v>118.359001159668</v>
      </c>
      <c r="G203" s="6">
        <v>28326000</v>
      </c>
      <c r="H203" s="8">
        <f t="shared" si="6"/>
        <v>-1.6371790522086611E-2</v>
      </c>
      <c r="I203" s="8">
        <f t="shared" si="7"/>
        <v>0.98721351588763617</v>
      </c>
    </row>
    <row r="204" spans="1:9" x14ac:dyDescent="0.35">
      <c r="A204" t="s">
        <v>10</v>
      </c>
      <c r="B204" s="1">
        <v>45947</v>
      </c>
      <c r="C204" s="4">
        <v>118.36000061035161</v>
      </c>
      <c r="D204" s="4">
        <v>120.31199645996089</v>
      </c>
      <c r="E204" s="4">
        <v>117.89499664306641</v>
      </c>
      <c r="F204" s="4">
        <v>119.9359970092773</v>
      </c>
      <c r="G204" s="6">
        <v>29571000</v>
      </c>
      <c r="H204" s="8">
        <f t="shared" si="6"/>
        <v>1.3323835400418036E-2</v>
      </c>
      <c r="I204" s="8">
        <f t="shared" si="7"/>
        <v>1.0003669862783908</v>
      </c>
    </row>
    <row r="205" spans="1:9" x14ac:dyDescent="0.35">
      <c r="A205" t="s">
        <v>10</v>
      </c>
      <c r="B205" s="1">
        <v>45950</v>
      </c>
      <c r="C205" s="4">
        <v>120.7880020141602</v>
      </c>
      <c r="D205" s="4">
        <v>124.7760009765625</v>
      </c>
      <c r="E205" s="4">
        <v>120.69000244140619</v>
      </c>
      <c r="F205" s="4">
        <v>123.8560028076172</v>
      </c>
      <c r="G205" s="6">
        <v>39862000</v>
      </c>
      <c r="H205" s="8">
        <f t="shared" si="6"/>
        <v>3.2684147345993883E-2</v>
      </c>
      <c r="I205" s="8">
        <f t="shared" si="7"/>
        <v>1.0330631282579814</v>
      </c>
    </row>
    <row r="206" spans="1:9" x14ac:dyDescent="0.35">
      <c r="A206" t="s">
        <v>10</v>
      </c>
      <c r="B206" s="1">
        <v>45951</v>
      </c>
      <c r="C206" s="4">
        <v>124.2829971313477</v>
      </c>
      <c r="D206" s="4">
        <v>124.86000061035161</v>
      </c>
      <c r="E206" s="4">
        <v>123.17600250244141</v>
      </c>
      <c r="F206" s="4">
        <v>124.1350021362305</v>
      </c>
      <c r="G206" s="6">
        <v>65082000</v>
      </c>
      <c r="H206" s="8">
        <f t="shared" si="6"/>
        <v>2.252610469325891E-3</v>
      </c>
      <c r="I206" s="8">
        <f t="shared" si="7"/>
        <v>1.03539021707617</v>
      </c>
    </row>
    <row r="207" spans="1:9" x14ac:dyDescent="0.35">
      <c r="A207" t="s">
        <v>10</v>
      </c>
      <c r="B207" s="1">
        <v>45952</v>
      </c>
      <c r="C207" s="4">
        <v>114.2900009155273</v>
      </c>
      <c r="D207" s="4">
        <v>115.7600021362305</v>
      </c>
      <c r="E207" s="4">
        <v>111.25099945068359</v>
      </c>
      <c r="F207" s="4">
        <v>111.6370010375977</v>
      </c>
      <c r="G207" s="6">
        <v>147890000</v>
      </c>
      <c r="H207" s="8">
        <f t="shared" si="6"/>
        <v>-0.1006807176344752</v>
      </c>
      <c r="I207" s="8">
        <f t="shared" si="7"/>
        <v>0.93114638698922614</v>
      </c>
    </row>
    <row r="208" spans="1:9" x14ac:dyDescent="0.35">
      <c r="A208" t="s">
        <v>10</v>
      </c>
      <c r="B208" s="1">
        <v>45953</v>
      </c>
      <c r="C208" s="4">
        <v>112.69000244140619</v>
      </c>
      <c r="D208" s="4">
        <v>112.7829971313477</v>
      </c>
      <c r="E208" s="4">
        <v>109.97299957275391</v>
      </c>
      <c r="F208" s="4">
        <v>111.359001159668</v>
      </c>
      <c r="G208" s="6">
        <v>68497000</v>
      </c>
      <c r="H208" s="8">
        <f t="shared" si="6"/>
        <v>-2.4902127013970523E-3</v>
      </c>
      <c r="I208" s="8">
        <f t="shared" si="7"/>
        <v>0.92882763442948557</v>
      </c>
    </row>
    <row r="209" spans="1:9" x14ac:dyDescent="0.35">
      <c r="A209" t="s">
        <v>10</v>
      </c>
      <c r="B209" s="1">
        <v>45954</v>
      </c>
      <c r="C209" s="4">
        <v>111.09999847412109</v>
      </c>
      <c r="D209" s="4">
        <v>111.4509963989258</v>
      </c>
      <c r="E209" s="4">
        <v>109.4410018920898</v>
      </c>
      <c r="F209" s="4">
        <v>109.4690017700195</v>
      </c>
      <c r="G209" s="6">
        <v>60280000</v>
      </c>
      <c r="H209" s="8">
        <f t="shared" si="6"/>
        <v>-1.6972129508764078E-2</v>
      </c>
      <c r="I209" s="8">
        <f t="shared" si="7"/>
        <v>0.91306345152662938</v>
      </c>
    </row>
    <row r="210" spans="1:9" x14ac:dyDescent="0.35">
      <c r="A210" t="s">
        <v>10</v>
      </c>
      <c r="B210" s="1">
        <v>45957</v>
      </c>
      <c r="C210" s="4">
        <v>110.06700134277339</v>
      </c>
      <c r="D210" s="4">
        <v>110.2279968261719</v>
      </c>
      <c r="E210" s="4">
        <v>108.73000335693359</v>
      </c>
      <c r="F210" s="4">
        <v>109.4560012817383</v>
      </c>
      <c r="G210" s="6">
        <v>46911000</v>
      </c>
      <c r="H210" s="8">
        <f t="shared" si="6"/>
        <v>-1.187595398788759E-4</v>
      </c>
      <c r="I210" s="8">
        <f t="shared" si="7"/>
        <v>0.91295501653124589</v>
      </c>
    </row>
    <row r="211" spans="1:9" x14ac:dyDescent="0.35">
      <c r="A211" t="s">
        <v>10</v>
      </c>
      <c r="B211" s="1">
        <v>45958</v>
      </c>
      <c r="C211" s="4">
        <v>109.40000152587891</v>
      </c>
      <c r="D211" s="4">
        <v>111.697998046875</v>
      </c>
      <c r="E211" s="4">
        <v>109.30100250244141</v>
      </c>
      <c r="F211" s="4">
        <v>110.25</v>
      </c>
      <c r="G211" s="6">
        <v>40209000</v>
      </c>
      <c r="H211" s="8">
        <f t="shared" si="6"/>
        <v>7.2540446294759335E-3</v>
      </c>
      <c r="I211" s="8">
        <f t="shared" si="7"/>
        <v>0.91957763296586759</v>
      </c>
    </row>
    <row r="212" spans="1:9" x14ac:dyDescent="0.35">
      <c r="A212" t="s">
        <v>10</v>
      </c>
      <c r="B212" s="1">
        <v>45959</v>
      </c>
      <c r="C212" s="4">
        <v>109.984001159668</v>
      </c>
      <c r="D212" s="4">
        <v>110.85500335693359</v>
      </c>
      <c r="E212" s="4">
        <v>109.59999847412109</v>
      </c>
      <c r="F212" s="4">
        <v>110.04100036621089</v>
      </c>
      <c r="G212" s="6">
        <v>33995000</v>
      </c>
      <c r="H212" s="8">
        <f t="shared" si="6"/>
        <v>-1.8956882883365545E-3</v>
      </c>
      <c r="I212" s="8">
        <f t="shared" si="7"/>
        <v>0.91783440041683795</v>
      </c>
    </row>
    <row r="213" spans="1:9" x14ac:dyDescent="0.35">
      <c r="A213" t="s">
        <v>10</v>
      </c>
      <c r="B213" s="1">
        <v>45960</v>
      </c>
      <c r="C213" s="4">
        <v>109.44000244140619</v>
      </c>
      <c r="D213" s="4">
        <v>110.6159973144531</v>
      </c>
      <c r="E213" s="4">
        <v>108.8109970092773</v>
      </c>
      <c r="F213" s="4">
        <v>108.90000152587891</v>
      </c>
      <c r="G213" s="6">
        <v>41581000</v>
      </c>
      <c r="H213" s="8">
        <f t="shared" si="6"/>
        <v>-1.0368851941865324E-2</v>
      </c>
      <c r="I213" s="8">
        <f t="shared" si="7"/>
        <v>0.90831751141176498</v>
      </c>
    </row>
    <row r="214" spans="1:9" x14ac:dyDescent="0.35">
      <c r="A214" t="s">
        <v>10</v>
      </c>
      <c r="B214" s="1">
        <v>45961</v>
      </c>
      <c r="C214" s="4">
        <v>110.53900146484381</v>
      </c>
      <c r="D214" s="4">
        <v>113.4879989624023</v>
      </c>
      <c r="E214" s="4">
        <v>110.197998046875</v>
      </c>
      <c r="F214" s="4">
        <v>111.88600158691411</v>
      </c>
      <c r="G214" s="6">
        <v>68665000</v>
      </c>
      <c r="H214" s="8">
        <f t="shared" si="6"/>
        <v>2.741965123228771E-2</v>
      </c>
      <c r="I214" s="8">
        <f t="shared" si="7"/>
        <v>0.93322326078285511</v>
      </c>
    </row>
    <row r="215" spans="1:9" x14ac:dyDescent="0.35">
      <c r="A215" t="s">
        <v>10</v>
      </c>
      <c r="B215" s="1">
        <v>45964</v>
      </c>
      <c r="C215" s="4">
        <v>113.32399749755859</v>
      </c>
      <c r="D215" s="4">
        <v>113.34999847412109</v>
      </c>
      <c r="E215" s="4">
        <v>107.51499938964839</v>
      </c>
      <c r="F215" s="4">
        <v>110.0090026855469</v>
      </c>
      <c r="G215" s="6">
        <v>58634000</v>
      </c>
      <c r="H215" s="8">
        <f t="shared" si="6"/>
        <v>-1.6775994089923137E-2</v>
      </c>
      <c r="I215" s="8">
        <f t="shared" si="7"/>
        <v>0.91756751287538318</v>
      </c>
    </row>
    <row r="216" spans="1:9" x14ac:dyDescent="0.35">
      <c r="A216" t="s">
        <v>10</v>
      </c>
      <c r="B216" s="1">
        <v>45965</v>
      </c>
      <c r="C216" s="4">
        <v>109.99900054931641</v>
      </c>
      <c r="D216" s="4">
        <v>110.4599990844727</v>
      </c>
      <c r="E216" s="4">
        <v>108.6679992675781</v>
      </c>
      <c r="F216" s="4">
        <v>109.29599761962891</v>
      </c>
      <c r="G216" s="6">
        <v>38718000</v>
      </c>
      <c r="H216" s="8">
        <f t="shared" si="6"/>
        <v>-6.4813337864363029E-3</v>
      </c>
      <c r="I216" s="8">
        <f t="shared" si="7"/>
        <v>0.91162045155284765</v>
      </c>
    </row>
    <row r="217" spans="1:9" x14ac:dyDescent="0.35">
      <c r="A217" t="s">
        <v>10</v>
      </c>
      <c r="B217" s="1">
        <v>45966</v>
      </c>
      <c r="C217" s="4">
        <v>108.5</v>
      </c>
      <c r="D217" s="4">
        <v>110.0849990844727</v>
      </c>
      <c r="E217" s="4">
        <v>107.3369979858398</v>
      </c>
      <c r="F217" s="4">
        <v>109.8460006713867</v>
      </c>
      <c r="G217" s="6">
        <v>35539000</v>
      </c>
      <c r="H217" s="8">
        <f t="shared" si="6"/>
        <v>5.0322341507135025E-3</v>
      </c>
      <c r="I217" s="8">
        <f t="shared" si="7"/>
        <v>0.91620793912164067</v>
      </c>
    </row>
    <row r="218" spans="1:9" x14ac:dyDescent="0.35">
      <c r="A218" t="s">
        <v>10</v>
      </c>
      <c r="B218" s="1">
        <v>45967</v>
      </c>
      <c r="C218" s="4">
        <v>109.4580001831055</v>
      </c>
      <c r="D218" s="4">
        <v>110.370002746582</v>
      </c>
      <c r="E218" s="4">
        <v>108.51300048828119</v>
      </c>
      <c r="F218" s="4">
        <v>109.70200347900391</v>
      </c>
      <c r="G218" s="6">
        <v>36532000</v>
      </c>
      <c r="H218" s="8">
        <f t="shared" si="6"/>
        <v>-1.3109006381905306E-3</v>
      </c>
      <c r="I218" s="8">
        <f t="shared" si="7"/>
        <v>0.91500688154953091</v>
      </c>
    </row>
    <row r="219" spans="1:9" x14ac:dyDescent="0.35">
      <c r="A219" t="s">
        <v>10</v>
      </c>
      <c r="B219" s="1">
        <v>45968</v>
      </c>
      <c r="C219" s="4">
        <v>109.4179992675781</v>
      </c>
      <c r="D219" s="4">
        <v>110.82199859619141</v>
      </c>
      <c r="E219" s="4">
        <v>108.75</v>
      </c>
      <c r="F219" s="4">
        <v>110.3659973144531</v>
      </c>
      <c r="G219" s="6">
        <v>44125000</v>
      </c>
      <c r="H219" s="8">
        <f t="shared" si="6"/>
        <v>6.0527047309238387E-3</v>
      </c>
      <c r="I219" s="8">
        <f t="shared" si="7"/>
        <v>0.92054514803031362</v>
      </c>
    </row>
    <row r="220" spans="1:9" x14ac:dyDescent="0.35">
      <c r="A220" t="s">
        <v>10</v>
      </c>
      <c r="B220" s="1">
        <v>45971</v>
      </c>
      <c r="C220" s="4">
        <v>110.6719970703125</v>
      </c>
      <c r="D220" s="4">
        <v>112.8199996948242</v>
      </c>
      <c r="E220" s="4">
        <v>110.4049987792969</v>
      </c>
      <c r="F220" s="4">
        <v>112.0070037841797</v>
      </c>
      <c r="G220" s="6">
        <v>36929000</v>
      </c>
      <c r="H220" s="8">
        <f t="shared" si="6"/>
        <v>1.4868768548804709E-2</v>
      </c>
      <c r="I220" s="8">
        <f t="shared" si="7"/>
        <v>0.93423252077510155</v>
      </c>
    </row>
    <row r="221" spans="1:9" x14ac:dyDescent="0.35">
      <c r="A221" t="s">
        <v>10</v>
      </c>
      <c r="B221" s="1">
        <v>45972</v>
      </c>
      <c r="C221" s="4">
        <v>111.7600021362305</v>
      </c>
      <c r="D221" s="4">
        <v>113.9219970703125</v>
      </c>
      <c r="E221" s="4">
        <v>111.2799987792969</v>
      </c>
      <c r="F221" s="4">
        <v>113.6439971923828</v>
      </c>
      <c r="G221" s="6">
        <v>27966000</v>
      </c>
      <c r="H221" s="8">
        <f t="shared" si="6"/>
        <v>1.4615098635772202E-2</v>
      </c>
      <c r="I221" s="8">
        <f t="shared" si="7"/>
        <v>0.94788642121497579</v>
      </c>
    </row>
    <row r="222" spans="1:9" x14ac:dyDescent="0.35">
      <c r="A222" t="s">
        <v>10</v>
      </c>
      <c r="B222" s="1">
        <v>45973</v>
      </c>
      <c r="C222" s="4">
        <v>113.81700134277339</v>
      </c>
      <c r="D222" s="4">
        <v>116.4339981079102</v>
      </c>
      <c r="E222" s="4">
        <v>112.8259963989258</v>
      </c>
      <c r="F222" s="4">
        <v>115.75</v>
      </c>
      <c r="G222" s="6">
        <v>39221000</v>
      </c>
      <c r="H222" s="8">
        <f t="shared" si="6"/>
        <v>1.853157984272627E-2</v>
      </c>
      <c r="I222" s="8">
        <f t="shared" si="7"/>
        <v>0.96545225411155722</v>
      </c>
    </row>
    <row r="223" spans="1:9" x14ac:dyDescent="0.35">
      <c r="A223" t="s">
        <v>10</v>
      </c>
      <c r="B223" s="1">
        <v>45974</v>
      </c>
      <c r="C223" s="4">
        <v>115.84999847412109</v>
      </c>
      <c r="D223" s="4">
        <v>116.7330017089844</v>
      </c>
      <c r="E223" s="4">
        <v>114.5690002441406</v>
      </c>
      <c r="F223" s="4">
        <v>115.42299652099609</v>
      </c>
      <c r="G223" s="6">
        <v>40144000</v>
      </c>
      <c r="H223" s="8">
        <f t="shared" si="6"/>
        <v>-2.8250840518696005E-3</v>
      </c>
      <c r="I223" s="8">
        <f t="shared" si="7"/>
        <v>0.96272477034562509</v>
      </c>
    </row>
    <row r="224" spans="1:9" x14ac:dyDescent="0.35">
      <c r="A224" t="s">
        <v>10</v>
      </c>
      <c r="B224" s="1">
        <v>45975</v>
      </c>
      <c r="C224" s="4">
        <v>114.2730026245117</v>
      </c>
      <c r="D224" s="4">
        <v>114.2730026245117</v>
      </c>
      <c r="E224" s="4">
        <v>110.7210006713867</v>
      </c>
      <c r="F224" s="4">
        <v>111.2170028686523</v>
      </c>
      <c r="G224" s="6">
        <v>47607000</v>
      </c>
      <c r="H224" s="8">
        <f t="shared" si="6"/>
        <v>-3.6439823770982233E-2</v>
      </c>
      <c r="I224" s="8">
        <f t="shared" si="7"/>
        <v>0.92764324937427123</v>
      </c>
    </row>
    <row r="225" spans="1:9" x14ac:dyDescent="0.35">
      <c r="A225" t="s">
        <v>10</v>
      </c>
      <c r="B225" s="1">
        <v>45978</v>
      </c>
      <c r="C225" s="4">
        <v>110.75</v>
      </c>
      <c r="D225" s="4">
        <v>111.84999847412109</v>
      </c>
      <c r="E225" s="4">
        <v>109.5500030517578</v>
      </c>
      <c r="F225" s="4">
        <v>110.2900009155273</v>
      </c>
      <c r="G225" s="6">
        <v>26082700</v>
      </c>
      <c r="H225" s="8">
        <f t="shared" si="6"/>
        <v>-8.3350740373735188E-3</v>
      </c>
      <c r="I225" s="8">
        <f t="shared" si="7"/>
        <v>0.91991127421046692</v>
      </c>
    </row>
    <row r="226" spans="1:9" x14ac:dyDescent="0.35">
      <c r="A226" t="s">
        <v>10</v>
      </c>
      <c r="B226" s="1">
        <v>45979</v>
      </c>
      <c r="C226" s="4">
        <v>110.2900009155273</v>
      </c>
      <c r="D226" s="4">
        <v>115.25</v>
      </c>
      <c r="E226" s="4">
        <v>109.1999969482422</v>
      </c>
      <c r="F226" s="4">
        <v>114.0899963378906</v>
      </c>
      <c r="G226" s="6">
        <v>43440600</v>
      </c>
      <c r="H226" s="8">
        <f t="shared" si="6"/>
        <v>3.4454577847666958E-2</v>
      </c>
      <c r="I226" s="8">
        <f t="shared" si="7"/>
        <v>0.95160642882069801</v>
      </c>
    </row>
    <row r="227" spans="1:9" x14ac:dyDescent="0.35">
      <c r="A227" t="s">
        <v>10</v>
      </c>
      <c r="B227" s="1">
        <v>45980</v>
      </c>
      <c r="C227" s="4">
        <v>113</v>
      </c>
      <c r="D227" s="4">
        <v>113.3399963378906</v>
      </c>
      <c r="E227" s="4">
        <v>108.61000061035161</v>
      </c>
      <c r="F227" s="4">
        <v>110</v>
      </c>
      <c r="G227" s="6">
        <v>31868100</v>
      </c>
      <c r="H227" s="8">
        <f t="shared" si="6"/>
        <v>-3.584886027849106E-2</v>
      </c>
      <c r="I227" s="8">
        <f t="shared" si="7"/>
        <v>0.91749242291379096</v>
      </c>
    </row>
    <row r="228" spans="1:9" x14ac:dyDescent="0.35">
      <c r="A228" t="s">
        <v>10</v>
      </c>
      <c r="B228" s="1">
        <v>45981</v>
      </c>
      <c r="C228" s="4">
        <v>111</v>
      </c>
      <c r="D228" s="4">
        <v>111.09999847412109</v>
      </c>
      <c r="E228" s="4">
        <v>105.38999938964839</v>
      </c>
      <c r="F228" s="4">
        <v>105.6699981689453</v>
      </c>
      <c r="G228" s="6">
        <v>36918500</v>
      </c>
      <c r="H228" s="8">
        <f t="shared" si="6"/>
        <v>-3.9363653009588197E-2</v>
      </c>
      <c r="I228" s="8">
        <f t="shared" si="7"/>
        <v>0.88137656953928611</v>
      </c>
    </row>
    <row r="229" spans="1:9" x14ac:dyDescent="0.35">
      <c r="A229" t="s">
        <v>10</v>
      </c>
      <c r="B229" s="1">
        <v>45982</v>
      </c>
      <c r="C229" s="4">
        <v>105.129997253418</v>
      </c>
      <c r="D229" s="4">
        <v>106.5299987792969</v>
      </c>
      <c r="E229" s="4">
        <v>103.80999755859381</v>
      </c>
      <c r="F229" s="4">
        <v>104.30999755859381</v>
      </c>
      <c r="G229" s="6">
        <v>41232700</v>
      </c>
      <c r="H229" s="8">
        <f t="shared" si="6"/>
        <v>-1.2870262457818171E-2</v>
      </c>
      <c r="I229" s="8">
        <f t="shared" si="7"/>
        <v>0.87003302176514408</v>
      </c>
    </row>
    <row r="230" spans="1:9" x14ac:dyDescent="0.35">
      <c r="A230" t="s">
        <v>10</v>
      </c>
      <c r="B230" s="1">
        <v>45985</v>
      </c>
      <c r="C230" s="4">
        <v>104.25</v>
      </c>
      <c r="D230" s="4">
        <v>108.0400009155273</v>
      </c>
      <c r="E230" s="4">
        <v>103.3199996948242</v>
      </c>
      <c r="F230" s="4">
        <v>106.9700012207031</v>
      </c>
      <c r="G230" s="6">
        <v>62918300</v>
      </c>
      <c r="H230" s="8">
        <f t="shared" si="6"/>
        <v>2.5500946451610183E-2</v>
      </c>
      <c r="I230" s="8">
        <f t="shared" si="7"/>
        <v>0.89221968726430967</v>
      </c>
    </row>
    <row r="231" spans="1:9" x14ac:dyDescent="0.35">
      <c r="A231" t="s">
        <v>10</v>
      </c>
      <c r="B231" s="1">
        <v>45986</v>
      </c>
      <c r="C231" s="4">
        <v>106.120002746582</v>
      </c>
      <c r="D231" s="4">
        <v>106.3000030517578</v>
      </c>
      <c r="E231" s="4">
        <v>103.8199996948242</v>
      </c>
      <c r="F231" s="4">
        <v>104.40000152587891</v>
      </c>
      <c r="G231" s="6">
        <v>35122600</v>
      </c>
      <c r="H231" s="8">
        <f t="shared" si="6"/>
        <v>-2.4025424562926802E-2</v>
      </c>
      <c r="I231" s="8">
        <f t="shared" si="7"/>
        <v>0.87078373047438284</v>
      </c>
    </row>
    <row r="232" spans="1:9" x14ac:dyDescent="0.35">
      <c r="A232" t="s">
        <v>10</v>
      </c>
      <c r="B232" s="1">
        <v>45987</v>
      </c>
      <c r="C232" s="4">
        <v>105.7399978637695</v>
      </c>
      <c r="D232" s="4">
        <v>106.9499969482422</v>
      </c>
      <c r="E232" s="4">
        <v>105.2200012207031</v>
      </c>
      <c r="F232" s="4">
        <v>106.13999938964839</v>
      </c>
      <c r="G232" s="6">
        <v>27951000</v>
      </c>
      <c r="H232" s="8">
        <f t="shared" si="6"/>
        <v>1.6666645961093917E-2</v>
      </c>
      <c r="I232" s="8">
        <f t="shared" si="7"/>
        <v>0.88529677461888012</v>
      </c>
    </row>
    <row r="233" spans="1:9" x14ac:dyDescent="0.35">
      <c r="A233" t="s">
        <v>10</v>
      </c>
      <c r="B233" s="1">
        <v>45989</v>
      </c>
      <c r="C233" s="4">
        <v>106.44000244140619</v>
      </c>
      <c r="D233" s="4">
        <v>107.94000244140619</v>
      </c>
      <c r="E233" s="4">
        <v>106.2399978637695</v>
      </c>
      <c r="F233" s="4">
        <v>107.5800018310547</v>
      </c>
      <c r="G233" s="6">
        <v>15021600</v>
      </c>
      <c r="H233" s="8">
        <f t="shared" si="6"/>
        <v>1.3567010078075686E-2</v>
      </c>
      <c r="I233" s="8">
        <f t="shared" si="7"/>
        <v>0.89730760488222228</v>
      </c>
    </row>
    <row r="234" spans="1:9" x14ac:dyDescent="0.35">
      <c r="A234" t="s">
        <v>10</v>
      </c>
      <c r="B234" s="1">
        <v>45992</v>
      </c>
      <c r="C234" s="4">
        <v>106.5100021362305</v>
      </c>
      <c r="D234" s="4">
        <v>109.3399963378906</v>
      </c>
      <c r="E234" s="4">
        <v>106.30999755859381</v>
      </c>
      <c r="F234" s="4">
        <v>109.129997253418</v>
      </c>
      <c r="G234" s="6">
        <v>24873400</v>
      </c>
      <c r="H234" s="8">
        <f t="shared" si="6"/>
        <v>1.4407839709813653E-2</v>
      </c>
      <c r="I234" s="8">
        <f t="shared" si="7"/>
        <v>0.91023586902376219</v>
      </c>
    </row>
    <row r="235" spans="1:9" x14ac:dyDescent="0.35">
      <c r="A235" t="s">
        <v>10</v>
      </c>
      <c r="B235" s="1">
        <v>45993</v>
      </c>
      <c r="C235" s="4">
        <v>109.2099990844727</v>
      </c>
      <c r="D235" s="4">
        <v>109.73000335693359</v>
      </c>
      <c r="E235" s="4">
        <v>107.51999664306641</v>
      </c>
      <c r="F235" s="4">
        <v>109.34999847412109</v>
      </c>
      <c r="G235" s="6">
        <v>25763000</v>
      </c>
      <c r="H235" s="8">
        <f t="shared" si="6"/>
        <v>2.0159555231383098E-3</v>
      </c>
      <c r="I235" s="8">
        <f t="shared" si="7"/>
        <v>0.91207086405127924</v>
      </c>
    </row>
    <row r="236" spans="1:9" x14ac:dyDescent="0.35">
      <c r="A236" t="s">
        <v>10</v>
      </c>
      <c r="B236" s="1">
        <v>45994</v>
      </c>
      <c r="C236" s="4">
        <v>106.5899963378906</v>
      </c>
      <c r="D236" s="4">
        <v>106.870002746582</v>
      </c>
      <c r="E236" s="4">
        <v>102.0299987792969</v>
      </c>
      <c r="F236" s="4">
        <v>103.9599990844727</v>
      </c>
      <c r="G236" s="6">
        <v>53593400</v>
      </c>
      <c r="H236" s="8">
        <f t="shared" si="6"/>
        <v>-4.9291261681398184E-2</v>
      </c>
      <c r="I236" s="8">
        <f t="shared" si="7"/>
        <v>0.86711374041934863</v>
      </c>
    </row>
    <row r="237" spans="1:9" x14ac:dyDescent="0.35">
      <c r="A237" t="s">
        <v>10</v>
      </c>
      <c r="B237" s="1">
        <v>45995</v>
      </c>
      <c r="C237" s="4">
        <v>103.5699996948242</v>
      </c>
      <c r="D237" s="4">
        <v>103.8000030517578</v>
      </c>
      <c r="E237" s="4">
        <v>101.76999664306641</v>
      </c>
      <c r="F237" s="4">
        <v>103.2200012207031</v>
      </c>
      <c r="G237" s="6">
        <v>51779100</v>
      </c>
      <c r="H237" s="8">
        <f t="shared" si="6"/>
        <v>-7.1181018688574347E-3</v>
      </c>
      <c r="I237" s="8">
        <f t="shared" si="7"/>
        <v>0.86094153648315774</v>
      </c>
    </row>
    <row r="238" spans="1:9" x14ac:dyDescent="0.35">
      <c r="A238" t="s">
        <v>10</v>
      </c>
      <c r="B238" s="1">
        <v>45996</v>
      </c>
      <c r="C238" s="4">
        <v>98.779998779296875</v>
      </c>
      <c r="D238" s="4">
        <v>104.7900009155273</v>
      </c>
      <c r="E238" s="4">
        <v>97.739997863769531</v>
      </c>
      <c r="F238" s="4">
        <v>100.2399978637695</v>
      </c>
      <c r="G238" s="6">
        <v>133363600</v>
      </c>
      <c r="H238" s="8">
        <f t="shared" si="6"/>
        <v>-2.8870406139230764E-2</v>
      </c>
      <c r="I238" s="8">
        <f t="shared" si="7"/>
        <v>0.83608580466275562</v>
      </c>
    </row>
    <row r="239" spans="1:9" x14ac:dyDescent="0.35">
      <c r="A239" t="s">
        <v>10</v>
      </c>
      <c r="B239" s="1">
        <v>45999</v>
      </c>
      <c r="C239" s="4">
        <v>99.870002746582031</v>
      </c>
      <c r="D239" s="4">
        <v>99.889999389648438</v>
      </c>
      <c r="E239" s="4">
        <v>95.300003051757813</v>
      </c>
      <c r="F239" s="4">
        <v>96.790000915527344</v>
      </c>
      <c r="G239" s="6">
        <v>100906300</v>
      </c>
      <c r="H239" s="8">
        <f t="shared" si="6"/>
        <v>-3.4417368533176292E-2</v>
      </c>
      <c r="I239" s="8">
        <f t="shared" si="7"/>
        <v>0.8073099313983203</v>
      </c>
    </row>
    <row r="240" spans="1:9" x14ac:dyDescent="0.35">
      <c r="A240" t="s">
        <v>10</v>
      </c>
      <c r="B240" s="1">
        <v>46000</v>
      </c>
      <c r="C240" s="4">
        <v>97.029998779296875</v>
      </c>
      <c r="D240" s="4">
        <v>97.239997863769531</v>
      </c>
      <c r="E240" s="4">
        <v>95.449996948242188</v>
      </c>
      <c r="F240" s="4">
        <v>96.709999084472656</v>
      </c>
      <c r="G240" s="6">
        <v>51745600</v>
      </c>
      <c r="H240" s="8">
        <f t="shared" si="6"/>
        <v>-8.2655057648473853E-4</v>
      </c>
      <c r="I240" s="8">
        <f t="shared" si="7"/>
        <v>0.80664264890912118</v>
      </c>
    </row>
    <row r="241" spans="1:9" x14ac:dyDescent="0.35">
      <c r="A241" t="s">
        <v>10</v>
      </c>
      <c r="B241" s="1">
        <v>46001</v>
      </c>
      <c r="C241" s="4">
        <v>96.739997863769531</v>
      </c>
      <c r="D241" s="4">
        <v>96.970001220703125</v>
      </c>
      <c r="E241" s="4">
        <v>92.349998474121094</v>
      </c>
      <c r="F241" s="4">
        <v>92.709999084472656</v>
      </c>
      <c r="G241" s="6">
        <v>74129300</v>
      </c>
      <c r="H241" s="8">
        <f t="shared" si="6"/>
        <v>-4.136076970186036E-2</v>
      </c>
      <c r="I241" s="8">
        <f t="shared" si="7"/>
        <v>0.77327928807589241</v>
      </c>
    </row>
    <row r="242" spans="1:9" x14ac:dyDescent="0.35">
      <c r="A242" t="s">
        <v>10</v>
      </c>
      <c r="B242" s="1">
        <v>46002</v>
      </c>
      <c r="C242" s="4">
        <v>93.900001525878906</v>
      </c>
      <c r="D242" s="4">
        <v>94.819999694824219</v>
      </c>
      <c r="E242" s="4">
        <v>92.760002136230469</v>
      </c>
      <c r="F242" s="4">
        <v>94.089996337890625</v>
      </c>
      <c r="G242" s="6">
        <v>43949000</v>
      </c>
      <c r="H242" s="8">
        <f t="shared" si="6"/>
        <v>1.4885096182134412E-2</v>
      </c>
      <c r="I242" s="8">
        <f t="shared" si="7"/>
        <v>0.7847896246545546</v>
      </c>
    </row>
    <row r="243" spans="1:9" x14ac:dyDescent="0.35">
      <c r="A243" t="s">
        <v>10</v>
      </c>
      <c r="B243" s="1">
        <v>46003</v>
      </c>
      <c r="C243" s="4">
        <v>95.5</v>
      </c>
      <c r="D243" s="4">
        <v>96.919998168945313</v>
      </c>
      <c r="E243" s="4">
        <v>94.650001525878906</v>
      </c>
      <c r="F243" s="4">
        <v>95.19000244140625</v>
      </c>
      <c r="G243" s="6">
        <v>49323100</v>
      </c>
      <c r="H243" s="8">
        <f t="shared" si="6"/>
        <v>1.169099953586294E-2</v>
      </c>
      <c r="I243" s="8">
        <f t="shared" si="7"/>
        <v>0.79396459979214107</v>
      </c>
    </row>
    <row r="244" spans="1:9" x14ac:dyDescent="0.35">
      <c r="A244" t="s">
        <v>10</v>
      </c>
      <c r="B244" s="1">
        <v>46006</v>
      </c>
      <c r="C244" s="4">
        <v>96.019996643066406</v>
      </c>
      <c r="D244" s="4">
        <v>96.370002746582031</v>
      </c>
      <c r="E244" s="4">
        <v>93.529998779296875</v>
      </c>
      <c r="F244" s="4">
        <v>93.769996643066406</v>
      </c>
      <c r="G244" s="6">
        <v>40016500</v>
      </c>
      <c r="H244" s="8">
        <f t="shared" si="6"/>
        <v>-1.4917593885071297E-2</v>
      </c>
      <c r="I244" s="8">
        <f t="shared" si="7"/>
        <v>0.78212055833331873</v>
      </c>
    </row>
    <row r="245" spans="1:9" x14ac:dyDescent="0.35">
      <c r="A245" t="s">
        <v>10</v>
      </c>
      <c r="B245" s="1">
        <v>46007</v>
      </c>
      <c r="C245" s="4">
        <v>93.879997253417969</v>
      </c>
      <c r="D245" s="4">
        <v>94.930000305175781</v>
      </c>
      <c r="E245" s="4">
        <v>93.319999694824219</v>
      </c>
      <c r="F245" s="4">
        <v>94.569999694824219</v>
      </c>
      <c r="G245" s="6">
        <v>34265000</v>
      </c>
      <c r="H245" s="8">
        <f t="shared" si="6"/>
        <v>8.5315461277343102E-3</v>
      </c>
      <c r="I245" s="8">
        <f t="shared" si="7"/>
        <v>0.7887932559541887</v>
      </c>
    </row>
    <row r="246" spans="1:9" x14ac:dyDescent="0.35">
      <c r="A246" t="s">
        <v>10</v>
      </c>
      <c r="B246" s="1">
        <v>46008</v>
      </c>
      <c r="C246" s="4">
        <v>95.980003356933594</v>
      </c>
      <c r="D246" s="4">
        <v>97.330001831054688</v>
      </c>
      <c r="E246" s="4">
        <v>94.459999084472656</v>
      </c>
      <c r="F246" s="4">
        <v>94.790000915527344</v>
      </c>
      <c r="G246" s="6">
        <v>50472800</v>
      </c>
      <c r="H246" s="8">
        <f t="shared" si="6"/>
        <v>2.3263320441267335E-3</v>
      </c>
      <c r="I246" s="8">
        <f t="shared" si="7"/>
        <v>0.79062825098170597</v>
      </c>
    </row>
    <row r="247" spans="1:9" x14ac:dyDescent="0.35">
      <c r="A247" t="s">
        <v>10</v>
      </c>
      <c r="B247" s="1">
        <v>46009</v>
      </c>
      <c r="C247" s="4">
        <v>95.019996643066406</v>
      </c>
      <c r="D247" s="4">
        <v>95.80999755859375</v>
      </c>
      <c r="E247" s="4">
        <v>93.589996337890625</v>
      </c>
      <c r="F247" s="4">
        <v>94</v>
      </c>
      <c r="G247" s="6">
        <v>37244700</v>
      </c>
      <c r="H247" s="8">
        <f t="shared" si="6"/>
        <v>-8.3342220476541364E-3</v>
      </c>
      <c r="I247" s="8">
        <f t="shared" si="7"/>
        <v>0.78403897958087598</v>
      </c>
    </row>
    <row r="248" spans="1:9" x14ac:dyDescent="0.35">
      <c r="A248" t="s">
        <v>10</v>
      </c>
      <c r="B248" s="1">
        <v>46010</v>
      </c>
      <c r="C248" s="4">
        <v>93.569999694824219</v>
      </c>
      <c r="D248" s="4">
        <v>95.540000915527344</v>
      </c>
      <c r="E248" s="4">
        <v>93.449996948242188</v>
      </c>
      <c r="F248" s="4">
        <v>94.389999389648438</v>
      </c>
      <c r="G248" s="6">
        <v>78990200</v>
      </c>
      <c r="H248" s="8">
        <f t="shared" si="6"/>
        <v>4.1489296771110374E-3</v>
      </c>
      <c r="I248" s="8">
        <f t="shared" si="7"/>
        <v>0.78729190217127099</v>
      </c>
    </row>
    <row r="249" spans="1:9" x14ac:dyDescent="0.35">
      <c r="A249" t="s">
        <v>10</v>
      </c>
      <c r="B249" s="1">
        <v>46013</v>
      </c>
      <c r="C249" s="4">
        <v>94.709999084472656</v>
      </c>
      <c r="D249" s="4">
        <v>94.709999084472656</v>
      </c>
      <c r="E249" s="4">
        <v>92.910003662109375</v>
      </c>
      <c r="F249" s="4">
        <v>93.230003356933594</v>
      </c>
      <c r="G249" s="6">
        <v>39484800</v>
      </c>
      <c r="H249" s="8">
        <f t="shared" si="6"/>
        <v>-1.2289395489095195E-2</v>
      </c>
      <c r="I249" s="8">
        <f t="shared" si="7"/>
        <v>0.77761656062012618</v>
      </c>
    </row>
    <row r="250" spans="1:9" x14ac:dyDescent="0.35">
      <c r="A250" t="s">
        <v>10</v>
      </c>
      <c r="B250" s="1">
        <v>46014</v>
      </c>
      <c r="C250" s="4">
        <v>93.400001525878906</v>
      </c>
      <c r="D250" s="4">
        <v>93.80999755859375</v>
      </c>
      <c r="E250" s="4">
        <v>91.330001831054688</v>
      </c>
      <c r="F250" s="4">
        <v>93.5</v>
      </c>
      <c r="G250" s="6">
        <v>25896200</v>
      </c>
      <c r="H250" s="8">
        <f t="shared" si="6"/>
        <v>2.8960273875859124E-3</v>
      </c>
      <c r="I250" s="8">
        <f t="shared" si="7"/>
        <v>0.77986855947672251</v>
      </c>
    </row>
    <row r="251" spans="1:9" x14ac:dyDescent="0.35">
      <c r="A251" t="s">
        <v>10</v>
      </c>
      <c r="B251" s="1">
        <v>46015</v>
      </c>
      <c r="C251" s="4">
        <v>93.110000610351563</v>
      </c>
      <c r="D251" s="4">
        <v>93.680000305175781</v>
      </c>
      <c r="E251" s="4">
        <v>92.669998168945313</v>
      </c>
      <c r="F251" s="4">
        <v>93.639999389648438</v>
      </c>
      <c r="G251" s="6">
        <v>12427900</v>
      </c>
      <c r="H251" s="8">
        <f t="shared" si="6"/>
        <v>1.4973196753843582E-3</v>
      </c>
      <c r="I251" s="8">
        <f t="shared" si="7"/>
        <v>0.78103627201504078</v>
      </c>
    </row>
    <row r="252" spans="1:9" x14ac:dyDescent="0.35">
      <c r="A252" t="s">
        <v>10</v>
      </c>
      <c r="B252" s="1">
        <v>46017</v>
      </c>
      <c r="C252" s="4">
        <v>93.480003356933594</v>
      </c>
      <c r="D252" s="4">
        <v>94.69000244140625</v>
      </c>
      <c r="E252" s="4">
        <v>93.269996643066406</v>
      </c>
      <c r="F252" s="4">
        <v>94.470001220703125</v>
      </c>
      <c r="G252" s="6">
        <v>22068300</v>
      </c>
      <c r="H252" s="8">
        <f t="shared" si="6"/>
        <v>8.8637530592128692E-3</v>
      </c>
      <c r="I252" s="8">
        <f t="shared" si="7"/>
        <v>0.78795918466047032</v>
      </c>
    </row>
    <row r="253" spans="1:9" x14ac:dyDescent="0.35">
      <c r="A253" t="s">
        <v>10</v>
      </c>
      <c r="B253" s="1">
        <v>46020</v>
      </c>
      <c r="C253" s="4">
        <v>93.989997863769531</v>
      </c>
      <c r="D253" s="4">
        <v>94.970001220703125</v>
      </c>
      <c r="E253" s="4">
        <v>93.629997253417969</v>
      </c>
      <c r="F253" s="4">
        <v>94.150001525878906</v>
      </c>
      <c r="G253" s="6">
        <v>24445900</v>
      </c>
      <c r="H253" s="8">
        <f t="shared" si="6"/>
        <v>-3.3873154513529395E-3</v>
      </c>
      <c r="I253" s="8">
        <f t="shared" si="7"/>
        <v>0.78529011833923446</v>
      </c>
    </row>
  </sheetData>
  <pageMargins left="0.75" right="0.75" top="1" bottom="1" header="0.5" footer="0.5"/>
  <ignoredErrors>
    <ignoredError sqref="I2:I3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39D5-1748-488A-83CF-A089256E0AD6}">
  <dimension ref="A3:C7"/>
  <sheetViews>
    <sheetView workbookViewId="0">
      <selection activeCell="E5" sqref="E5"/>
    </sheetView>
  </sheetViews>
  <sheetFormatPr defaultRowHeight="14.5" x14ac:dyDescent="0.35"/>
  <cols>
    <col min="1" max="1" width="12.36328125" bestFit="1" customWidth="1"/>
    <col min="2" max="2" width="20.6328125" bestFit="1" customWidth="1"/>
    <col min="3" max="3" width="8.26953125" bestFit="1" customWidth="1"/>
  </cols>
  <sheetData>
    <row r="3" spans="1:3" x14ac:dyDescent="0.35">
      <c r="A3" s="10" t="s">
        <v>17</v>
      </c>
      <c r="B3" t="s">
        <v>18</v>
      </c>
      <c r="C3" t="s">
        <v>19</v>
      </c>
    </row>
    <row r="4" spans="1:3" x14ac:dyDescent="0.35">
      <c r="A4" s="11" t="s">
        <v>7</v>
      </c>
      <c r="B4" s="8">
        <v>1.2451782176532233E-3</v>
      </c>
      <c r="C4" s="8">
        <v>1.1100646359239076E-2</v>
      </c>
    </row>
    <row r="5" spans="1:3" x14ac:dyDescent="0.35">
      <c r="A5" s="11" t="s">
        <v>9</v>
      </c>
      <c r="B5" s="8">
        <v>4.3057939576098209E-3</v>
      </c>
      <c r="C5" s="8">
        <v>1.8610070940046797E-2</v>
      </c>
    </row>
    <row r="6" spans="1:3" x14ac:dyDescent="0.35">
      <c r="A6" s="11" t="s">
        <v>8</v>
      </c>
      <c r="B6" s="8">
        <v>-8.887300375486942E-4</v>
      </c>
      <c r="C6" s="8">
        <v>1.1995893052212867E-2</v>
      </c>
    </row>
    <row r="7" spans="1:3" x14ac:dyDescent="0.35">
      <c r="A7" s="11" t="s">
        <v>10</v>
      </c>
      <c r="B7" s="8">
        <v>-3.6424636837052264E-3</v>
      </c>
      <c r="C7" s="8">
        <v>2.2166247053050661E-2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22FE-FECC-4FA6-A492-2423A9B7047A}">
  <dimension ref="A1:E5"/>
  <sheetViews>
    <sheetView workbookViewId="0">
      <selection activeCell="E9" sqref="E9"/>
    </sheetView>
  </sheetViews>
  <sheetFormatPr defaultRowHeight="14.5" x14ac:dyDescent="0.35"/>
  <cols>
    <col min="2" max="2" width="15" customWidth="1"/>
    <col min="3" max="3" width="14.1796875" customWidth="1"/>
    <col min="4" max="4" width="20.7265625" customWidth="1"/>
    <col min="5" max="5" width="18.81640625" customWidth="1"/>
  </cols>
  <sheetData>
    <row r="1" spans="1:5" x14ac:dyDescent="0.35">
      <c r="A1" t="s">
        <v>0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5">
      <c r="A2" t="s">
        <v>7</v>
      </c>
      <c r="B2" s="8">
        <f>AVERAGEIF(Sheet1!A:A,"AAPL",Sheet1!H:H)</f>
        <v>1.2451782176532233E-3</v>
      </c>
      <c r="C2" s="8">
        <f t="array" ref="C2">_xlfn.STDEV.S(IF(Sheet1!A:A="AAPL",Sheet1!H:H))</f>
        <v>1.1100646359239076E-2</v>
      </c>
      <c r="D2" s="8">
        <f>LOOKUP(2, 1/(Sheet1!A:A=A2), Sheet1!I:I)</f>
        <v>1.0761708570390343</v>
      </c>
      <c r="E2" s="8">
        <f>C2*SQRT(252)</f>
        <v>0.17621729795172697</v>
      </c>
    </row>
    <row r="3" spans="1:5" x14ac:dyDescent="0.35">
      <c r="A3" t="s">
        <v>9</v>
      </c>
      <c r="B3" s="8">
        <f>AVERAGEIF(Sheet1!A:A,"GOOG",Sheet1!H:H)</f>
        <v>4.3057939576098209E-3</v>
      </c>
      <c r="C3" s="8">
        <f t="array" ref="C3">_xlfn.STDEV.S(IF(Sheet1!A:A="GOOG",Sheet1!H:H))</f>
        <v>1.8610070940046797E-2</v>
      </c>
      <c r="D3" s="8">
        <f>LOOKUP(2, 1/(Sheet1!A:A=A3), Sheet1!I:I)</f>
        <v>1.2917065547330726</v>
      </c>
      <c r="E3" s="8">
        <f t="shared" ref="E3:E5" si="0">C3*SQRT(252)</f>
        <v>0.29542571753180313</v>
      </c>
    </row>
    <row r="4" spans="1:5" x14ac:dyDescent="0.35">
      <c r="A4" t="s">
        <v>8</v>
      </c>
      <c r="B4" s="8">
        <f>AVERAGEIF(Sheet1!A:A,"MSFT",Sheet1!H:H)</f>
        <v>-8.887300375486942E-4</v>
      </c>
      <c r="C4" s="8">
        <f t="array" ref="C4">_xlfn.STDEV.S(IF(Sheet1!A:A="MSFT",Sheet1!H:H))</f>
        <v>1.1995893052212867E-2</v>
      </c>
      <c r="D4" s="8">
        <f>LOOKUP(2, 1/(Sheet1!A:A=A4), Sheet1!I:I)</f>
        <v>0.94219839107274383</v>
      </c>
      <c r="E4" s="8">
        <f t="shared" si="0"/>
        <v>0.19042889862169685</v>
      </c>
    </row>
    <row r="5" spans="1:5" x14ac:dyDescent="0.35">
      <c r="A5" t="s">
        <v>10</v>
      </c>
      <c r="B5" s="8">
        <f>AVERAGEIF(Sheet1!A:A,"NFLX",Sheet1!H:H)</f>
        <v>-3.6424636837052264E-3</v>
      </c>
      <c r="C5" s="8">
        <f t="array" ref="C5">_xlfn.STDEV.S(IF(Sheet1!A:A="NFLX",Sheet1!H:H))</f>
        <v>2.2166247053050661E-2</v>
      </c>
      <c r="D5" s="8">
        <f>LOOKUP(2, 1/(Sheet1!A:A=A5), Sheet1!I:I)</f>
        <v>0.78529011833923446</v>
      </c>
      <c r="E5" s="8">
        <f t="shared" si="0"/>
        <v>0.35187826321194243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PB</cp:lastModifiedBy>
  <dcterms:created xsi:type="dcterms:W3CDTF">2025-12-30T11:35:45Z</dcterms:created>
  <dcterms:modified xsi:type="dcterms:W3CDTF">2026-01-04T13:22:33Z</dcterms:modified>
</cp:coreProperties>
</file>